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5"/>
  <workbookPr/>
  <mc:AlternateContent xmlns:mc="http://schemas.openxmlformats.org/markup-compatibility/2006">
    <mc:Choice Requires="x15">
      <x15ac:absPath xmlns:x15ac="http://schemas.microsoft.com/office/spreadsheetml/2010/11/ac" url="C:\Users\HP\Downloads\"/>
    </mc:Choice>
  </mc:AlternateContent>
  <xr:revisionPtr revIDLastSave="181" documentId="11_06F0D70921A453E8A874E33724109BF9C17540A9" xr6:coauthVersionLast="47" xr6:coauthVersionMax="47" xr10:uidLastSave="{9A00146B-7510-4ACB-BAD3-FBAA2E0D6AF7}"/>
  <bookViews>
    <workbookView xWindow="0" yWindow="0" windowWidth="20490" windowHeight="7635" xr2:uid="{00000000-000D-0000-FFFF-FFFF00000000}"/>
  </bookViews>
  <sheets>
    <sheet name="Risk Analysi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1" l="1"/>
  <c r="F3" i="1"/>
  <c r="F4" i="1"/>
  <c r="F5" i="1"/>
  <c r="F6" i="1"/>
  <c r="F7" i="1"/>
  <c r="F8" i="1"/>
  <c r="F9" i="1"/>
  <c r="F10" i="1"/>
  <c r="F11" i="1"/>
  <c r="F12" i="1"/>
  <c r="F2" i="1"/>
</calcChain>
</file>

<file path=xl/sharedStrings.xml><?xml version="1.0" encoding="utf-8"?>
<sst xmlns="http://schemas.openxmlformats.org/spreadsheetml/2006/main" count="132" uniqueCount="118">
  <si>
    <t>Risk ID</t>
  </si>
  <si>
    <t>Risk Description</t>
  </si>
  <si>
    <t>Cause/Source</t>
  </si>
  <si>
    <t>Probability (H/M/L or 1-3)</t>
  </si>
  <si>
    <t>Impact (H/M/L or 1-3)</t>
  </si>
  <si>
    <t>Priority (P×I)</t>
  </si>
  <si>
    <t>Owner</t>
  </si>
  <si>
    <t>Analysis</t>
  </si>
  <si>
    <t xml:space="preserve">Monitoring </t>
  </si>
  <si>
    <t>Response Strategy (Avoid/Mitigate/Transfer/Accept/Escalate)</t>
  </si>
  <si>
    <t xml:space="preserve">Strategy </t>
  </si>
  <si>
    <t>Time Buffer</t>
  </si>
  <si>
    <t>Contingency Funds</t>
  </si>
  <si>
    <t>R1</t>
  </si>
  <si>
    <t>Public opposition or protests</t>
  </si>
  <si>
    <t>Community concerns over safety, EMF exposure, noise</t>
  </si>
  <si>
    <t>Project Manger/Community Relations</t>
  </si>
  <si>
    <t>High likelihood of community pushback; could cause major schedule delays.</t>
  </si>
  <si>
    <t>Weekly - Track community complaints, monitor media &amp; social platforms</t>
  </si>
  <si>
    <t>Mitigate and Escalate</t>
  </si>
  <si>
    <t xml:space="preserve">Escalate to Senior Management / Local Government -Resolve disputes where possible and maintain project continuity if community pressure escalates </t>
  </si>
  <si>
    <t>3 months</t>
  </si>
  <si>
    <t>R2</t>
  </si>
  <si>
    <t>Delay in CPUC approval</t>
  </si>
  <si>
    <t>Delay in review, missing documentation</t>
  </si>
  <si>
    <t>Regulatory Affairs</t>
  </si>
  <si>
    <t>CPUC delays are common; impacts project start date.</t>
  </si>
  <si>
    <t>Bi-Weekly - Review permit approval status, direct CPUC updates</t>
  </si>
  <si>
    <t xml:space="preserve">Mitigate </t>
  </si>
  <si>
    <t>Submit complete docs early, follow up regularly, monitor CPUC status</t>
  </si>
  <si>
    <t>2 months</t>
  </si>
  <si>
    <t>R3</t>
  </si>
  <si>
    <t>Environmental non-compliance</t>
  </si>
  <si>
    <t>Dust, noise, wildlife disruption and potential hazardous material spillages.</t>
  </si>
  <si>
    <t>Regulatory fines possible, but impact contained if monitored.</t>
  </si>
  <si>
    <t>Weekly - Site inspections, environmental audit reports</t>
  </si>
  <si>
    <t>Mitigate</t>
  </si>
  <si>
    <t>Regular site inspections, environmental audits, dust/noise control, wildlife monitoring</t>
  </si>
  <si>
    <t>R4</t>
  </si>
  <si>
    <t>Vendor supply chain delay</t>
  </si>
  <si>
    <t>vendor qualification delays, Long lead times for 500kV cables &amp; tower materials</t>
  </si>
  <si>
    <t>Procurment Lead</t>
  </si>
  <si>
    <t>Any delay in getting materials to the work site delays the project completion date</t>
  </si>
  <si>
    <t>Weekly - Vendor delivery reports, milestone tracking</t>
  </si>
  <si>
    <t>Mitigate / Transfer</t>
  </si>
  <si>
    <t>Track vendor milestones, maintain multiple suppliers, order long-lead items early. Tranfer to Vendors (via contractual obligations with penalties)</t>
  </si>
  <si>
    <t>R5</t>
  </si>
  <si>
    <t>Cable splicing or testing failure</t>
  </si>
  <si>
    <r>
      <t xml:space="preserve">Design Errors, Workmanship issue </t>
    </r>
    <r>
      <rPr>
        <sz val="8"/>
        <rFont val="Calibri"/>
        <family val="2"/>
        <scheme val="minor"/>
      </rPr>
      <t>(Flaws in the engineering of the system, such as incorrectly sized equipment, insufficient structural capacity for towers, or incomplete drawings)</t>
    </r>
  </si>
  <si>
    <t>Engineering lead/Procurement lead</t>
  </si>
  <si>
    <t>Unlikely, potential to be highly disruptive if not caught during testing</t>
  </si>
  <si>
    <t>Per Test Cycle - Quality control tests, engineering sign-offs</t>
  </si>
  <si>
    <t>Mitigate &amp; Accept</t>
  </si>
  <si>
    <t>Quality control tests, design peer review, backup components ready. Be prepared for Minor failures absorbed within testing schedule</t>
  </si>
  <si>
    <t>1 month</t>
  </si>
  <si>
    <t>R6</t>
  </si>
  <si>
    <t>Construction complexity &amp; unforeseen ground issues</t>
  </si>
  <si>
    <t>Seismic faults, soil instability, access challenges</t>
  </si>
  <si>
    <t>Construction Lead</t>
  </si>
  <si>
    <t>Soil instability and seismic risks significant in Chino Hills.</t>
  </si>
  <si>
    <t>Daily Before starting the construction and weekly once the construction is started</t>
  </si>
  <si>
    <t>Escalate</t>
  </si>
  <si>
    <t>Senior Project Manager / Engineering Director - Geotechnical surveys, adjust construction methods, worker training</t>
  </si>
  <si>
    <t>R7</t>
  </si>
  <si>
    <t>Worker injury or accident</t>
  </si>
  <si>
    <t>High-voltage handling, heavy equipment</t>
  </si>
  <si>
    <t>High safety risks involved with working with high voltage cables and heavy machinery; accidents could halt work temporarily.</t>
  </si>
  <si>
    <t>Daily - Safety incident reports</t>
  </si>
  <si>
    <t>Mitigate/Transfer</t>
  </si>
  <si>
    <t>Minor incidents can occur, Enforce PPE, safety drills, daily safety reporting, accident insurance</t>
  </si>
  <si>
    <t>R8</t>
  </si>
  <si>
    <t>Budget overrun</t>
  </si>
  <si>
    <t>Underestimated costs, scope creep</t>
  </si>
  <si>
    <t>Project Manager</t>
  </si>
  <si>
    <t>Contingency planning required; scope creep is a concern.</t>
  </si>
  <si>
    <t>Monthly - Cost variance reports, earned value tracking</t>
  </si>
  <si>
    <t>Escalate /Tranfer</t>
  </si>
  <si>
    <t>Senior Management -  Track costs, control scope creep, review contracts. Transfer financial risk to contractors through fixed rate contracts and the government through budget increase clauses for mutually agreed changes in project requirements or expansions of scope.</t>
  </si>
  <si>
    <t>Management Funds</t>
  </si>
  <si>
    <t>R9</t>
  </si>
  <si>
    <t>Ineffective stakeholder communication</t>
  </si>
  <si>
    <t>Misalignment between CPUC, city, contractors</t>
  </si>
  <si>
    <t>Misalignment can cause rework and delays.</t>
  </si>
  <si>
    <t>Bi-weekly - Meeting minutes, communication dashboard</t>
  </si>
  <si>
    <t xml:space="preserve">Escalate to Senior management to keep the project completion on track  </t>
  </si>
  <si>
    <t>R10</t>
  </si>
  <si>
    <t>Extreme weather impacts</t>
  </si>
  <si>
    <t>Heavy rain, heatwaves</t>
  </si>
  <si>
    <t>Weather events are likely but can be planned for.</t>
  </si>
  <si>
    <t>Seasonal -  Weather alerts, contingency planning checks</t>
  </si>
  <si>
    <t>Contingency plans for weather, flexible schedule, monitor alerts</t>
  </si>
  <si>
    <t>5 months</t>
  </si>
  <si>
    <t>R11</t>
  </si>
  <si>
    <t>Labor strikes or shortage</t>
  </si>
  <si>
    <t>Union disputes, lack of skilled cable jointers</t>
  </si>
  <si>
    <t>Procurement Lead</t>
  </si>
  <si>
    <t>Workforce availability risk due to union disputes.</t>
  </si>
  <si>
    <t>Monthly - Based on union negotiations status</t>
  </si>
  <si>
    <t>Transfer</t>
  </si>
  <si>
    <t>Maintain buffer workforce, cross-train staff, negotiate labor agreements</t>
  </si>
  <si>
    <t>R12</t>
  </si>
  <si>
    <t>Seismic Activity</t>
  </si>
  <si>
    <t>Earthquakes occur  in the area frequently. Earthquakes of sufficient size to cause damage or risk to the project however, are rare.</t>
  </si>
  <si>
    <t>Accept</t>
  </si>
  <si>
    <t>Seismic events are unpredictable but rare.</t>
  </si>
  <si>
    <t>Weekly - Check recent seismic activity for upticks in frequency and intensity as these could indicate increased likelihood  for a major seismic event.</t>
  </si>
  <si>
    <t xml:space="preserve">Accept </t>
  </si>
  <si>
    <t>Keep all staff aware of safety protocals necessary for major seismic events, prepare emergency preparedness plans for each work site along the route</t>
  </si>
  <si>
    <t>Probability / Impact</t>
  </si>
  <si>
    <t>Low</t>
  </si>
  <si>
    <t>Medium</t>
  </si>
  <si>
    <t>High</t>
  </si>
  <si>
    <t>Unlikely</t>
  </si>
  <si>
    <t>Moderate</t>
  </si>
  <si>
    <t>R3,R7,R8,R11</t>
  </si>
  <si>
    <t>R4,R5,R6</t>
  </si>
  <si>
    <t xml:space="preserve">Very Likely </t>
  </si>
  <si>
    <t>R1,R9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</si>
</sst>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
      <name val="Calibri"/>
      <family val="2"/>
      <scheme val="minor"/>
    </font>
    <font>
      <sz val="8"/>
      <name val="Calibri"/>
      <family val="2"/>
      <scheme val="minor"/>
    </font>
    <font>
      <sz val="11"/>
      <color rgb="FF000000"/>
      <name val="Calibri"/>
      <charset val="1"/>
    </font>
  </fonts>
  <fills count="5">
    <fill>
      <patternFill patternType="none"/>
    </fill>
    <fill>
      <patternFill patternType="gray125"/>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16">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s>
  <cellStyleXfs count="1">
    <xf numFmtId="0" fontId="0" fillId="0" borderId="0"/>
  </cellStyleXfs>
  <cellXfs count="31">
    <xf numFmtId="0" fontId="0" fillId="0" borderId="0" xfId="0"/>
    <xf numFmtId="0" fontId="0" fillId="2"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0" xfId="0" applyFill="1" applyBorder="1" applyAlignment="1">
      <alignment horizontal="center" vertical="center" wrapText="1"/>
    </xf>
    <xf numFmtId="0" fontId="0" fillId="3" borderId="12" xfId="0" applyFill="1" applyBorder="1" applyAlignment="1">
      <alignment horizontal="center" vertical="center" wrapText="1"/>
    </xf>
    <xf numFmtId="0" fontId="0" fillId="4" borderId="13" xfId="0" applyFill="1" applyBorder="1" applyAlignment="1">
      <alignment horizontal="center" vertical="center" wrapText="1"/>
    </xf>
    <xf numFmtId="0" fontId="0" fillId="0" borderId="0" xfId="0"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left" vertical="center" wrapText="1"/>
    </xf>
    <xf numFmtId="0" fontId="1" fillId="0" borderId="2" xfId="0" applyFon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wrapText="1"/>
    </xf>
    <xf numFmtId="0" fontId="2" fillId="0" borderId="1" xfId="0" applyFont="1" applyBorder="1" applyAlignment="1">
      <alignment horizontal="left" vertical="center" wrapText="1"/>
    </xf>
    <xf numFmtId="0" fontId="0" fillId="0" borderId="3" xfId="0"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left" wrapText="1"/>
    </xf>
    <xf numFmtId="0" fontId="0" fillId="2" borderId="6"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1" xfId="0" applyFill="1" applyBorder="1" applyAlignment="1">
      <alignment horizontal="center" vertical="center" wrapText="1"/>
    </xf>
    <xf numFmtId="0" fontId="0" fillId="0" borderId="14" xfId="0" applyBorder="1" applyAlignment="1">
      <alignment horizontal="center" vertical="center" wrapText="1"/>
    </xf>
    <xf numFmtId="0" fontId="0" fillId="0" borderId="14" xfId="0" applyBorder="1" applyAlignment="1">
      <alignment horizontal="left" vertical="center" wrapText="1"/>
    </xf>
    <xf numFmtId="0" fontId="4" fillId="0" borderId="14" xfId="0" applyFont="1" applyBorder="1"/>
    <xf numFmtId="0" fontId="0" fillId="0" borderId="15" xfId="0" applyBorder="1" applyAlignment="1">
      <alignment horizontal="center" vertical="center" wrapText="1"/>
    </xf>
    <xf numFmtId="0" fontId="0" fillId="0" borderId="15" xfId="0" applyBorder="1" applyAlignment="1">
      <alignment horizontal="left" vertical="center" wrapText="1"/>
    </xf>
    <xf numFmtId="0" fontId="0" fillId="0" borderId="15" xfId="0" applyBorder="1" applyAlignment="1">
      <alignment horizontal="left"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
  <sheetViews>
    <sheetView tabSelected="1" topLeftCell="E1" zoomScaleNormal="100" workbookViewId="0">
      <selection activeCell="I5" sqref="I5"/>
    </sheetView>
  </sheetViews>
  <sheetFormatPr defaultColWidth="47.28515625" defaultRowHeight="15"/>
  <cols>
    <col min="1" max="1" width="12.28515625" style="7" customWidth="1"/>
    <col min="2" max="2" width="49.28515625" style="7" customWidth="1"/>
    <col min="3" max="3" width="32.28515625" style="12" customWidth="1"/>
    <col min="4" max="4" width="13.5703125" style="7" customWidth="1"/>
    <col min="5" max="5" width="17.28515625" style="7" customWidth="1"/>
    <col min="6" max="6" width="11.85546875" style="7" customWidth="1"/>
    <col min="7" max="7" width="18.7109375" style="7" customWidth="1"/>
    <col min="8" max="8" width="28.85546875" style="12" customWidth="1"/>
    <col min="9" max="9" width="24.7109375" style="12" customWidth="1"/>
    <col min="10" max="10" width="23" style="7" customWidth="1"/>
    <col min="11" max="11" width="40" style="12" customWidth="1"/>
    <col min="12" max="13" width="18.85546875" style="7" bestFit="1" customWidth="1"/>
    <col min="14" max="16384" width="47.28515625" style="7"/>
  </cols>
  <sheetData>
    <row r="1" spans="1:13" ht="60.75" thickBot="1">
      <c r="A1" s="8" t="s">
        <v>0</v>
      </c>
      <c r="B1" s="8" t="s">
        <v>1</v>
      </c>
      <c r="C1" s="13" t="s">
        <v>2</v>
      </c>
      <c r="D1" s="8" t="s">
        <v>3</v>
      </c>
      <c r="E1" s="8" t="s">
        <v>4</v>
      </c>
      <c r="F1" s="8" t="s">
        <v>5</v>
      </c>
      <c r="G1" s="8" t="s">
        <v>6</v>
      </c>
      <c r="H1" s="8" t="s">
        <v>7</v>
      </c>
      <c r="I1" s="8" t="s">
        <v>8</v>
      </c>
      <c r="J1" s="8" t="s">
        <v>9</v>
      </c>
      <c r="K1" s="8" t="s">
        <v>10</v>
      </c>
      <c r="L1" s="30" t="s">
        <v>11</v>
      </c>
      <c r="M1" s="30" t="s">
        <v>12</v>
      </c>
    </row>
    <row r="2" spans="1:13" ht="60.75">
      <c r="A2" s="18" t="s">
        <v>13</v>
      </c>
      <c r="B2" s="18" t="s">
        <v>14</v>
      </c>
      <c r="C2" s="19" t="s">
        <v>15</v>
      </c>
      <c r="D2" s="18">
        <v>3</v>
      </c>
      <c r="E2" s="18">
        <v>3</v>
      </c>
      <c r="F2" s="18">
        <f>D2*E2</f>
        <v>9</v>
      </c>
      <c r="G2" s="18" t="s">
        <v>16</v>
      </c>
      <c r="H2" s="19" t="s">
        <v>17</v>
      </c>
      <c r="I2" s="19" t="s">
        <v>18</v>
      </c>
      <c r="J2" s="18" t="s">
        <v>19</v>
      </c>
      <c r="K2" s="20" t="s">
        <v>20</v>
      </c>
      <c r="L2" s="7" t="s">
        <v>21</v>
      </c>
    </row>
    <row r="3" spans="1:13" ht="45.75">
      <c r="A3" s="14" t="s">
        <v>22</v>
      </c>
      <c r="B3" s="14" t="s">
        <v>23</v>
      </c>
      <c r="C3" s="15" t="s">
        <v>24</v>
      </c>
      <c r="D3" s="14">
        <v>3</v>
      </c>
      <c r="E3" s="14">
        <v>2</v>
      </c>
      <c r="F3" s="14">
        <f t="shared" ref="F3:F12" si="0">D3*E3</f>
        <v>6</v>
      </c>
      <c r="G3" s="14" t="s">
        <v>25</v>
      </c>
      <c r="H3" s="15" t="s">
        <v>26</v>
      </c>
      <c r="I3" s="15" t="s">
        <v>27</v>
      </c>
      <c r="J3" s="14" t="s">
        <v>28</v>
      </c>
      <c r="K3" s="16" t="s">
        <v>29</v>
      </c>
      <c r="L3" s="7" t="s">
        <v>30</v>
      </c>
      <c r="M3" s="7">
        <v>200000</v>
      </c>
    </row>
    <row r="4" spans="1:13" ht="45.75">
      <c r="A4" s="14" t="s">
        <v>31</v>
      </c>
      <c r="B4" s="14" t="s">
        <v>32</v>
      </c>
      <c r="C4" s="15" t="s">
        <v>33</v>
      </c>
      <c r="D4" s="14">
        <v>2</v>
      </c>
      <c r="E4" s="14">
        <v>2</v>
      </c>
      <c r="F4" s="14">
        <f t="shared" si="0"/>
        <v>4</v>
      </c>
      <c r="G4" s="14" t="s">
        <v>25</v>
      </c>
      <c r="H4" s="15" t="s">
        <v>34</v>
      </c>
      <c r="I4" s="15" t="s">
        <v>35</v>
      </c>
      <c r="J4" s="14" t="s">
        <v>36</v>
      </c>
      <c r="K4" s="16" t="s">
        <v>37</v>
      </c>
      <c r="M4" s="7">
        <v>400000</v>
      </c>
    </row>
    <row r="5" spans="1:13" ht="60.75">
      <c r="A5" s="14" t="s">
        <v>38</v>
      </c>
      <c r="B5" s="14" t="s">
        <v>39</v>
      </c>
      <c r="C5" s="15" t="s">
        <v>40</v>
      </c>
      <c r="D5" s="14">
        <v>2</v>
      </c>
      <c r="E5" s="14">
        <v>3</v>
      </c>
      <c r="F5" s="14">
        <f t="shared" si="0"/>
        <v>6</v>
      </c>
      <c r="G5" s="14" t="s">
        <v>41</v>
      </c>
      <c r="H5" s="15" t="s">
        <v>42</v>
      </c>
      <c r="I5" s="15" t="s">
        <v>43</v>
      </c>
      <c r="J5" s="14" t="s">
        <v>44</v>
      </c>
      <c r="K5" s="16" t="s">
        <v>45</v>
      </c>
      <c r="L5" s="7" t="s">
        <v>21</v>
      </c>
    </row>
    <row r="6" spans="1:13" ht="91.5">
      <c r="A6" s="14" t="s">
        <v>46</v>
      </c>
      <c r="B6" s="14" t="s">
        <v>47</v>
      </c>
      <c r="C6" s="17" t="s">
        <v>48</v>
      </c>
      <c r="D6" s="14">
        <v>2</v>
      </c>
      <c r="E6" s="14">
        <v>3</v>
      </c>
      <c r="F6" s="14">
        <f t="shared" si="0"/>
        <v>6</v>
      </c>
      <c r="G6" s="14" t="s">
        <v>49</v>
      </c>
      <c r="H6" s="15" t="s">
        <v>50</v>
      </c>
      <c r="I6" s="15" t="s">
        <v>51</v>
      </c>
      <c r="J6" s="14" t="s">
        <v>52</v>
      </c>
      <c r="K6" s="16" t="s">
        <v>53</v>
      </c>
      <c r="L6" s="7" t="s">
        <v>54</v>
      </c>
      <c r="M6" s="7">
        <v>2000000</v>
      </c>
    </row>
    <row r="7" spans="1:13" ht="60.75">
      <c r="A7" s="14" t="s">
        <v>55</v>
      </c>
      <c r="B7" s="14" t="s">
        <v>56</v>
      </c>
      <c r="C7" s="15" t="s">
        <v>57</v>
      </c>
      <c r="D7" s="14">
        <v>2</v>
      </c>
      <c r="E7" s="14">
        <v>3</v>
      </c>
      <c r="F7" s="14">
        <f t="shared" si="0"/>
        <v>6</v>
      </c>
      <c r="G7" s="14" t="s">
        <v>58</v>
      </c>
      <c r="H7" s="15" t="s">
        <v>59</v>
      </c>
      <c r="I7" s="15" t="s">
        <v>60</v>
      </c>
      <c r="J7" s="14" t="s">
        <v>61</v>
      </c>
      <c r="K7" s="16" t="s">
        <v>62</v>
      </c>
      <c r="L7" s="7" t="s">
        <v>54</v>
      </c>
      <c r="M7" s="7">
        <v>4000000</v>
      </c>
    </row>
    <row r="8" spans="1:13" ht="76.5">
      <c r="A8" s="14" t="s">
        <v>63</v>
      </c>
      <c r="B8" s="14" t="s">
        <v>64</v>
      </c>
      <c r="C8" s="15" t="s">
        <v>65</v>
      </c>
      <c r="D8" s="14">
        <v>2</v>
      </c>
      <c r="E8" s="14">
        <v>2</v>
      </c>
      <c r="F8" s="14">
        <f t="shared" si="0"/>
        <v>4</v>
      </c>
      <c r="G8" s="14" t="s">
        <v>58</v>
      </c>
      <c r="H8" s="15" t="s">
        <v>66</v>
      </c>
      <c r="I8" s="15" t="s">
        <v>67</v>
      </c>
      <c r="J8" s="14" t="s">
        <v>68</v>
      </c>
      <c r="K8" s="15" t="s">
        <v>69</v>
      </c>
      <c r="M8" s="7">
        <v>2000000</v>
      </c>
    </row>
    <row r="9" spans="1:13" ht="106.5">
      <c r="A9" s="14" t="s">
        <v>70</v>
      </c>
      <c r="B9" s="14" t="s">
        <v>71</v>
      </c>
      <c r="C9" s="15" t="s">
        <v>72</v>
      </c>
      <c r="D9" s="14">
        <v>2</v>
      </c>
      <c r="E9" s="14">
        <v>2</v>
      </c>
      <c r="F9" s="14">
        <f t="shared" si="0"/>
        <v>4</v>
      </c>
      <c r="G9" s="14" t="s">
        <v>73</v>
      </c>
      <c r="H9" s="15" t="s">
        <v>74</v>
      </c>
      <c r="I9" s="15" t="s">
        <v>75</v>
      </c>
      <c r="J9" s="14" t="s">
        <v>76</v>
      </c>
      <c r="K9" s="15" t="s">
        <v>77</v>
      </c>
      <c r="M9" s="7" t="s">
        <v>78</v>
      </c>
    </row>
    <row r="10" spans="1:13" ht="45.75">
      <c r="A10" s="14" t="s">
        <v>79</v>
      </c>
      <c r="B10" s="14" t="s">
        <v>80</v>
      </c>
      <c r="C10" s="15" t="s">
        <v>81</v>
      </c>
      <c r="D10" s="14">
        <v>3</v>
      </c>
      <c r="E10" s="14">
        <v>3</v>
      </c>
      <c r="F10" s="14">
        <f t="shared" si="0"/>
        <v>9</v>
      </c>
      <c r="G10" s="14" t="s">
        <v>73</v>
      </c>
      <c r="H10" s="15" t="s">
        <v>82</v>
      </c>
      <c r="I10" s="15" t="s">
        <v>83</v>
      </c>
      <c r="J10" s="14" t="s">
        <v>61</v>
      </c>
      <c r="K10" s="15" t="s">
        <v>84</v>
      </c>
      <c r="L10" s="7" t="s">
        <v>54</v>
      </c>
      <c r="M10" s="7">
        <v>500000</v>
      </c>
    </row>
    <row r="11" spans="1:13" ht="45.75">
      <c r="A11" s="14" t="s">
        <v>85</v>
      </c>
      <c r="B11" s="14" t="s">
        <v>86</v>
      </c>
      <c r="C11" s="15" t="s">
        <v>87</v>
      </c>
      <c r="D11" s="14">
        <v>3</v>
      </c>
      <c r="E11" s="14">
        <v>1</v>
      </c>
      <c r="F11" s="14">
        <f t="shared" si="0"/>
        <v>3</v>
      </c>
      <c r="G11" s="14" t="s">
        <v>58</v>
      </c>
      <c r="H11" s="15" t="s">
        <v>88</v>
      </c>
      <c r="I11" s="15" t="s">
        <v>89</v>
      </c>
      <c r="J11" s="14" t="s">
        <v>36</v>
      </c>
      <c r="K11" s="16" t="s">
        <v>90</v>
      </c>
      <c r="L11" s="7" t="s">
        <v>91</v>
      </c>
      <c r="M11" s="7">
        <v>1500000</v>
      </c>
    </row>
    <row r="12" spans="1:13" ht="30.75">
      <c r="A12" s="27" t="s">
        <v>92</v>
      </c>
      <c r="B12" s="27" t="s">
        <v>93</v>
      </c>
      <c r="C12" s="28" t="s">
        <v>94</v>
      </c>
      <c r="D12" s="27">
        <v>2</v>
      </c>
      <c r="E12" s="27">
        <v>2</v>
      </c>
      <c r="F12" s="27">
        <f t="shared" si="0"/>
        <v>4</v>
      </c>
      <c r="G12" s="27" t="s">
        <v>95</v>
      </c>
      <c r="H12" s="28" t="s">
        <v>96</v>
      </c>
      <c r="I12" s="28" t="s">
        <v>97</v>
      </c>
      <c r="J12" s="27" t="s">
        <v>98</v>
      </c>
      <c r="K12" s="29" t="s">
        <v>99</v>
      </c>
      <c r="L12" s="7" t="s">
        <v>30</v>
      </c>
      <c r="M12" s="7">
        <v>2000000</v>
      </c>
    </row>
    <row r="13" spans="1:13" ht="91.5">
      <c r="A13" s="24" t="s">
        <v>100</v>
      </c>
      <c r="B13" s="24" t="s">
        <v>101</v>
      </c>
      <c r="C13" s="25" t="s">
        <v>102</v>
      </c>
      <c r="D13" s="24">
        <v>1</v>
      </c>
      <c r="E13" s="24">
        <v>3</v>
      </c>
      <c r="F13" s="24">
        <v>3</v>
      </c>
      <c r="G13" s="24" t="s">
        <v>103</v>
      </c>
      <c r="H13" s="26" t="s">
        <v>104</v>
      </c>
      <c r="I13" s="25" t="s">
        <v>105</v>
      </c>
      <c r="J13" s="24" t="s">
        <v>106</v>
      </c>
      <c r="K13" s="25" t="s">
        <v>107</v>
      </c>
      <c r="M13" s="7">
        <v>1000000</v>
      </c>
    </row>
    <row r="14" spans="1:13">
      <c r="L14" s="7" t="s">
        <v>78</v>
      </c>
      <c r="M14" s="7">
        <f>31800000-SUM(M2:M13)</f>
        <v>18200000</v>
      </c>
    </row>
    <row r="16" spans="1:13" ht="15.75" thickBot="1">
      <c r="B16" s="8" t="s">
        <v>108</v>
      </c>
      <c r="C16" s="13" t="s">
        <v>109</v>
      </c>
      <c r="D16" s="8" t="s">
        <v>110</v>
      </c>
      <c r="E16" s="9" t="s">
        <v>111</v>
      </c>
    </row>
    <row r="17" spans="2:5">
      <c r="B17" s="10" t="s">
        <v>112</v>
      </c>
      <c r="C17" s="21"/>
      <c r="D17" s="1"/>
      <c r="E17" s="2" t="s">
        <v>100</v>
      </c>
    </row>
    <row r="18" spans="2:5">
      <c r="B18" s="10" t="s">
        <v>113</v>
      </c>
      <c r="C18" s="22"/>
      <c r="D18" s="3" t="s">
        <v>114</v>
      </c>
      <c r="E18" s="4" t="s">
        <v>115</v>
      </c>
    </row>
    <row r="19" spans="2:5">
      <c r="B19" s="11" t="s">
        <v>116</v>
      </c>
      <c r="C19" s="23" t="s">
        <v>85</v>
      </c>
      <c r="D19" s="5" t="s">
        <v>22</v>
      </c>
      <c r="E19" s="6"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Brian R. Montgomery</cp:lastModifiedBy>
  <cp:revision/>
  <dcterms:created xsi:type="dcterms:W3CDTF">2025-09-24T21:18:34Z</dcterms:created>
  <dcterms:modified xsi:type="dcterms:W3CDTF">2025-09-30T06:16:41Z</dcterms:modified>
  <cp:category/>
  <cp:contentStatus/>
</cp:coreProperties>
</file>