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5172" documentId="11_0B1D56BE9CDCCE836B02CE7A5FB0D4A9BBFD1C62" xr6:coauthVersionLast="47" xr6:coauthVersionMax="47" xr10:uidLastSave="{B28996C2-05B7-428E-BFB3-7D610B8FA5F9}"/>
  <bookViews>
    <workbookView xWindow="240" yWindow="105" windowWidth="14805" windowHeight="8010" firstSheet="8" activeTab="8" xr2:uid="{00000000-000D-0000-FFFF-FFFF00000000}"/>
  </bookViews>
  <sheets>
    <sheet name="OBS" sheetId="2" r:id="rId1"/>
    <sheet name="Time and Cost Estimation" sheetId="3" r:id="rId2"/>
    <sheet name="Responsability Matrix" sheetId="1" r:id="rId3"/>
    <sheet name="Network Diagram" sheetId="4" r:id="rId4"/>
    <sheet name="Resources" sheetId="5" r:id="rId5"/>
    <sheet name="Loading Schedule" sheetId="7" r:id="rId6"/>
    <sheet name="Time Phased Budget" sheetId="10" r:id="rId7"/>
    <sheet name="Crashing" sheetId="8" r:id="rId8"/>
    <sheet name="Status Report" sheetId="9" r:id="rId9"/>
  </sheets>
  <definedNames>
    <definedName name="_xlnm.Print_Area" localSheetId="3">'Network Diagram'!$A$1:$BC$34</definedName>
    <definedName name="_xlnm.Print_Area" localSheetId="5">'Loading Schedule'!$A$1:$BC$34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8" i="10" l="1"/>
  <c r="AN28" i="10"/>
  <c r="AO28" i="10"/>
  <c r="AP28" i="10"/>
  <c r="AQ28" i="10"/>
  <c r="AR28" i="10"/>
  <c r="AS28" i="10"/>
  <c r="AT28" i="10"/>
  <c r="AU28" i="10"/>
  <c r="AV28" i="10"/>
  <c r="AH28" i="10"/>
  <c r="AI28" i="10"/>
  <c r="AJ28" i="10"/>
  <c r="AK28" i="10"/>
  <c r="AL28" i="10"/>
  <c r="AG28" i="10"/>
  <c r="AW5" i="10"/>
  <c r="AW6" i="10"/>
  <c r="AW7" i="10"/>
  <c r="AW8" i="10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4" i="10"/>
  <c r="AW3" i="10"/>
  <c r="B5" i="8"/>
  <c r="C52" i="9"/>
  <c r="G52" i="9"/>
  <c r="E45" i="8"/>
  <c r="I52" i="9"/>
  <c r="H52" i="9"/>
  <c r="E56" i="9"/>
  <c r="D56" i="9"/>
  <c r="C56" i="9"/>
  <c r="E55" i="9"/>
  <c r="D55" i="9"/>
  <c r="C55" i="9"/>
  <c r="E54" i="9"/>
  <c r="D54" i="9"/>
  <c r="C54" i="9"/>
  <c r="E53" i="9"/>
  <c r="D53" i="9"/>
  <c r="C53" i="9"/>
  <c r="C12" i="9"/>
  <c r="E52" i="9"/>
  <c r="D52" i="9"/>
  <c r="D5" i="9"/>
  <c r="C5" i="9"/>
  <c r="F42" i="9"/>
  <c r="E47" i="9"/>
  <c r="D47" i="9"/>
  <c r="C47" i="9"/>
  <c r="G46" i="9"/>
  <c r="F46" i="9"/>
  <c r="G45" i="9"/>
  <c r="F45" i="9"/>
  <c r="G44" i="9"/>
  <c r="F44" i="9"/>
  <c r="G43" i="9"/>
  <c r="F43" i="9"/>
  <c r="G42" i="9"/>
  <c r="G41" i="9"/>
  <c r="F41" i="9"/>
  <c r="G40" i="9"/>
  <c r="F40" i="9"/>
  <c r="G39" i="9"/>
  <c r="F39" i="9"/>
  <c r="G38" i="9"/>
  <c r="G47" i="9" s="1"/>
  <c r="F38" i="9"/>
  <c r="F47" i="9" s="1"/>
  <c r="C34" i="9"/>
  <c r="D34" i="9"/>
  <c r="E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G34" i="9" s="1"/>
  <c r="F25" i="9"/>
  <c r="F34" i="9" s="1"/>
  <c r="C21" i="9"/>
  <c r="D21" i="9"/>
  <c r="E21" i="9"/>
  <c r="G20" i="9"/>
  <c r="F20" i="9"/>
  <c r="G19" i="9"/>
  <c r="F19" i="9"/>
  <c r="G18" i="9"/>
  <c r="F18" i="9"/>
  <c r="G17" i="9"/>
  <c r="F17" i="9"/>
  <c r="G16" i="9"/>
  <c r="F16" i="9"/>
  <c r="F21" i="9" s="1"/>
  <c r="E5" i="9"/>
  <c r="G4" i="9"/>
  <c r="F4" i="9"/>
  <c r="G3" i="9"/>
  <c r="G5" i="9" s="1"/>
  <c r="F3" i="9"/>
  <c r="F5" i="9" s="1"/>
  <c r="D12" i="9"/>
  <c r="E12" i="9"/>
  <c r="G11" i="9"/>
  <c r="F11" i="9"/>
  <c r="G10" i="9"/>
  <c r="F10" i="9"/>
  <c r="G9" i="9"/>
  <c r="G12" i="9" s="1"/>
  <c r="F9" i="9"/>
  <c r="F12" i="9" s="1"/>
  <c r="D29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S45" i="8"/>
  <c r="BS18" i="7"/>
  <c r="BO18" i="7"/>
  <c r="BK18" i="7"/>
  <c r="BG18" i="7"/>
  <c r="AW19" i="7"/>
  <c r="AS21" i="7"/>
  <c r="AO21" i="7"/>
  <c r="AK21" i="7"/>
  <c r="AG19" i="7"/>
  <c r="AC19" i="7"/>
  <c r="U25" i="7"/>
  <c r="U21" i="7"/>
  <c r="U17" i="7"/>
  <c r="Y25" i="7"/>
  <c r="Y20" i="7"/>
  <c r="Q19" i="7"/>
  <c r="M19" i="7"/>
  <c r="I19" i="7"/>
  <c r="E19" i="7"/>
  <c r="A19" i="7"/>
  <c r="BA22" i="7"/>
  <c r="BA18" i="7"/>
  <c r="BA14" i="7"/>
  <c r="BE19" i="7"/>
  <c r="BI20" i="7"/>
  <c r="BM20" i="7"/>
  <c r="BQ20" i="7"/>
  <c r="AC18" i="7"/>
  <c r="C43" i="8"/>
  <c r="E43" i="8"/>
  <c r="G43" i="8" s="1"/>
  <c r="I43" i="8" s="1"/>
  <c r="K43" i="8" s="1"/>
  <c r="M43" i="8" s="1"/>
  <c r="O43" i="8" s="1"/>
  <c r="Q43" i="8" s="1"/>
  <c r="S43" i="8" s="1"/>
  <c r="E18" i="7"/>
  <c r="BI18" i="7"/>
  <c r="BI19" i="7" s="1"/>
  <c r="BM18" i="7"/>
  <c r="BM19" i="7" s="1"/>
  <c r="BQ18" i="7"/>
  <c r="BQ19" i="7" s="1"/>
  <c r="G18" i="7"/>
  <c r="I18" i="7" s="1"/>
  <c r="K18" i="7" s="1"/>
  <c r="M18" i="7" s="1"/>
  <c r="O18" i="7" s="1"/>
  <c r="Q18" i="7" s="1"/>
  <c r="S18" i="7" s="1"/>
  <c r="C18" i="7"/>
  <c r="BA18" i="4"/>
  <c r="AW18" i="4"/>
  <c r="AS18" i="4"/>
  <c r="AO18" i="4"/>
  <c r="AK21" i="4"/>
  <c r="AK17" i="4"/>
  <c r="AK13" i="4"/>
  <c r="AG18" i="4"/>
  <c r="AC24" i="4"/>
  <c r="AC20" i="4"/>
  <c r="AC15" i="4"/>
  <c r="AC11" i="4"/>
  <c r="Y18" i="4"/>
  <c r="U18" i="4"/>
  <c r="Q27" i="4"/>
  <c r="Q23" i="4"/>
  <c r="Q19" i="4"/>
  <c r="Q15" i="4"/>
  <c r="Q11" i="4"/>
  <c r="Q7" i="4"/>
  <c r="M18" i="4"/>
  <c r="I21" i="4"/>
  <c r="I15" i="4"/>
  <c r="E18" i="4"/>
  <c r="AQ18" i="4"/>
  <c r="AU18" i="4"/>
  <c r="AY18" i="4"/>
  <c r="BC18" i="4" s="1"/>
  <c r="AM21" i="4"/>
  <c r="AM17" i="4"/>
  <c r="AM13" i="4"/>
  <c r="AI18" i="4"/>
  <c r="AE11" i="4"/>
  <c r="AE15" i="4"/>
  <c r="AE20" i="4"/>
  <c r="AE24" i="4"/>
  <c r="S27" i="4"/>
  <c r="W18" i="4"/>
  <c r="AA18" i="4" s="1"/>
  <c r="S23" i="4"/>
  <c r="S19" i="4"/>
  <c r="S15" i="4"/>
  <c r="S11" i="4"/>
  <c r="S7" i="4"/>
  <c r="O18" i="4"/>
  <c r="K21" i="4"/>
  <c r="K15" i="4"/>
  <c r="G18" i="4"/>
  <c r="C18" i="4"/>
  <c r="B60" i="8"/>
  <c r="B59" i="8"/>
  <c r="G52" i="8"/>
  <c r="G56" i="8"/>
  <c r="G55" i="8"/>
  <c r="G54" i="8" s="1"/>
  <c r="F52" i="8"/>
  <c r="F55" i="8"/>
  <c r="F54" i="8" s="1"/>
  <c r="F56" i="8"/>
  <c r="E52" i="8"/>
  <c r="E54" i="8"/>
  <c r="E55" i="8"/>
  <c r="E56" i="8"/>
  <c r="D54" i="8"/>
  <c r="D55" i="8"/>
  <c r="D56" i="8"/>
  <c r="D52" i="8"/>
  <c r="C54" i="8"/>
  <c r="C55" i="8"/>
  <c r="C56" i="8"/>
  <c r="C52" i="8"/>
  <c r="B54" i="8"/>
  <c r="B1" i="8"/>
  <c r="BQ45" i="8"/>
  <c r="BO45" i="8"/>
  <c r="BM45" i="8"/>
  <c r="BK45" i="8"/>
  <c r="BI45" i="8"/>
  <c r="BG45" i="8"/>
  <c r="BE45" i="8"/>
  <c r="BC48" i="8" s="1"/>
  <c r="BA48" i="8" s="1"/>
  <c r="BC44" i="8"/>
  <c r="BA44" i="8"/>
  <c r="BC40" i="8"/>
  <c r="BA40" i="8"/>
  <c r="AY45" i="8" s="1"/>
  <c r="AW45" i="8" s="1"/>
  <c r="B4" i="8"/>
  <c r="G5" i="4"/>
  <c r="S29" i="4"/>
  <c r="S25" i="4"/>
  <c r="S21" i="4"/>
  <c r="S17" i="4"/>
  <c r="S13" i="4"/>
  <c r="S9" i="4"/>
  <c r="W20" i="4"/>
  <c r="AA20" i="4"/>
  <c r="AE13" i="4"/>
  <c r="AE17" i="4"/>
  <c r="AE22" i="4"/>
  <c r="AE26" i="4"/>
  <c r="AI20" i="4"/>
  <c r="AM23" i="4"/>
  <c r="AM15" i="4"/>
  <c r="AM19" i="4"/>
  <c r="AQ20" i="4"/>
  <c r="AU20" i="4"/>
  <c r="AY20" i="4"/>
  <c r="BA20" i="4"/>
  <c r="AW20" i="4"/>
  <c r="AS20" i="4"/>
  <c r="AO20" i="4"/>
  <c r="AK15" i="4"/>
  <c r="AK19" i="4"/>
  <c r="AK23" i="4"/>
  <c r="AG20" i="4"/>
  <c r="AC13" i="4"/>
  <c r="AC17" i="4"/>
  <c r="AC22" i="4"/>
  <c r="AC26" i="4"/>
  <c r="Y20" i="4"/>
  <c r="U20" i="4"/>
  <c r="Q9" i="4"/>
  <c r="Q13" i="4"/>
  <c r="Q17" i="4"/>
  <c r="Q29" i="4"/>
  <c r="Q25" i="4"/>
  <c r="Q21" i="4"/>
  <c r="O20" i="4"/>
  <c r="M20" i="4" s="1"/>
  <c r="BA19" i="4"/>
  <c r="AW19" i="4"/>
  <c r="AS19" i="4"/>
  <c r="AO19" i="4"/>
  <c r="AK14" i="4"/>
  <c r="AK18" i="4"/>
  <c r="AK22" i="4"/>
  <c r="AG19" i="4"/>
  <c r="AC12" i="4"/>
  <c r="AC16" i="4"/>
  <c r="AC21" i="4"/>
  <c r="AC25" i="4"/>
  <c r="Y19" i="4"/>
  <c r="U19" i="4"/>
  <c r="Q28" i="4"/>
  <c r="Q24" i="4"/>
  <c r="Q8" i="4"/>
  <c r="Q12" i="4"/>
  <c r="Q16" i="4"/>
  <c r="Q20" i="4"/>
  <c r="E2" i="3"/>
  <c r="E5" i="3"/>
  <c r="E8" i="3"/>
  <c r="E19" i="3"/>
  <c r="E22" i="3"/>
  <c r="E29" i="3"/>
  <c r="E35" i="3"/>
  <c r="E43" i="3"/>
  <c r="D19" i="3"/>
  <c r="D30" i="3"/>
  <c r="D23" i="3"/>
  <c r="D3" i="3"/>
  <c r="D39" i="3"/>
  <c r="D36" i="3"/>
  <c r="D26" i="3"/>
  <c r="D15" i="3"/>
  <c r="D12" i="3"/>
  <c r="D9" i="3"/>
  <c r="B43" i="3"/>
  <c r="K23" i="4"/>
  <c r="I23" i="4" s="1"/>
  <c r="G20" i="4"/>
  <c r="E20" i="4" s="1"/>
  <c r="I22" i="4"/>
  <c r="M19" i="4"/>
  <c r="K17" i="4"/>
  <c r="I16" i="4"/>
  <c r="E29" i="10" l="1"/>
  <c r="AW28" i="10"/>
  <c r="I55" i="9"/>
  <c r="H55" i="9"/>
  <c r="G55" i="9"/>
  <c r="I54" i="9"/>
  <c r="H54" i="9"/>
  <c r="G54" i="9"/>
  <c r="I53" i="9"/>
  <c r="H53" i="9"/>
  <c r="G53" i="9"/>
  <c r="H56" i="9"/>
  <c r="C57" i="9"/>
  <c r="G57" i="9" s="1"/>
  <c r="I56" i="9"/>
  <c r="G56" i="9"/>
  <c r="G21" i="9"/>
  <c r="U49" i="8"/>
  <c r="W49" i="8" s="1"/>
  <c r="Y49" i="8" s="1"/>
  <c r="AA49" i="8" s="1"/>
  <c r="U45" i="8"/>
  <c r="W45" i="8" s="1"/>
  <c r="U41" i="8"/>
  <c r="W41" i="8" s="1"/>
  <c r="Y44" i="8" s="1"/>
  <c r="AA44" i="8" s="1"/>
  <c r="AC43" i="8" s="1"/>
  <c r="U37" i="8"/>
  <c r="W37" i="8" s="1"/>
  <c r="U12" i="7"/>
  <c r="W12" i="7" s="1"/>
  <c r="U16" i="7"/>
  <c r="W16" i="7" s="1"/>
  <c r="Y19" i="7" s="1"/>
  <c r="AA19" i="7" s="1"/>
  <c r="U20" i="7"/>
  <c r="W20" i="7" s="1"/>
  <c r="U24" i="7"/>
  <c r="W24" i="7" s="1"/>
  <c r="Y24" i="7" s="1"/>
  <c r="AA24" i="7" s="1"/>
  <c r="AE18" i="7" s="1"/>
  <c r="AG18" i="7" s="1"/>
  <c r="AI18" i="7" s="1"/>
  <c r="AK16" i="7"/>
  <c r="AM16" i="7" s="1"/>
  <c r="AK20" i="7"/>
  <c r="AM20" i="7" s="1"/>
  <c r="AO20" i="7" s="1"/>
  <c r="AQ20" i="7" s="1"/>
  <c r="AS20" i="7" s="1"/>
  <c r="AU20" i="7" s="1"/>
  <c r="AW18" i="7" s="1"/>
  <c r="AY18" i="7" s="1"/>
  <c r="BA21" i="7"/>
  <c r="BC21" i="7" s="1"/>
  <c r="BA17" i="7"/>
  <c r="BC17" i="7" s="1"/>
  <c r="BA13" i="7"/>
  <c r="BC13" i="7" s="1"/>
  <c r="BE18" i="7" s="1"/>
  <c r="AU47" i="8"/>
  <c r="AS47" i="8" s="1"/>
  <c r="AM43" i="8"/>
  <c r="AK43" i="8" s="1"/>
  <c r="BO20" i="7"/>
  <c r="E19" i="4"/>
  <c r="C20" i="4"/>
  <c r="F29" i="10" l="1"/>
  <c r="G29" i="10" s="1"/>
  <c r="H29" i="10" s="1"/>
  <c r="I29" i="10" s="1"/>
  <c r="J29" i="10" s="1"/>
  <c r="K29" i="10" s="1"/>
  <c r="L29" i="10" s="1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Y29" i="10" s="1"/>
  <c r="Z29" i="10" s="1"/>
  <c r="AA29" i="10" s="1"/>
  <c r="AB29" i="10" s="1"/>
  <c r="AC29" i="10" s="1"/>
  <c r="AD29" i="10" s="1"/>
  <c r="AE29" i="10" s="1"/>
  <c r="AF29" i="10" s="1"/>
  <c r="AG29" i="10" s="1"/>
  <c r="AH29" i="10" s="1"/>
  <c r="AI29" i="10" s="1"/>
  <c r="AJ29" i="10" s="1"/>
  <c r="AK29" i="10" s="1"/>
  <c r="AL29" i="10" s="1"/>
  <c r="AM29" i="10" s="1"/>
  <c r="AN29" i="10" s="1"/>
  <c r="AO29" i="10" s="1"/>
  <c r="AP29" i="10" s="1"/>
  <c r="AQ29" i="10" s="1"/>
  <c r="AR29" i="10" s="1"/>
  <c r="AS29" i="10" s="1"/>
  <c r="AT29" i="10" s="1"/>
  <c r="AU29" i="10" s="1"/>
  <c r="AV29" i="10" s="1"/>
  <c r="AE43" i="8"/>
  <c r="AG43" i="8" s="1"/>
  <c r="AI43" i="8" s="1"/>
  <c r="AQ47" i="8"/>
  <c r="AO47" i="8" s="1"/>
  <c r="BK20" i="7"/>
  <c r="A20" i="4"/>
  <c r="A19" i="4" s="1"/>
  <c r="AK45" i="8" l="1"/>
  <c r="AM45" i="8" s="1"/>
  <c r="AO45" i="8" s="1"/>
  <c r="AQ45" i="8" s="1"/>
  <c r="AS45" i="8" s="1"/>
  <c r="AK41" i="8"/>
  <c r="AM47" i="8"/>
  <c r="AK47" i="8" s="1"/>
  <c r="AO46" i="8"/>
  <c r="BG20" i="7"/>
  <c r="BE20" i="7" s="1"/>
  <c r="AM41" i="8" l="1"/>
  <c r="AK42" i="8"/>
  <c r="AU45" i="8"/>
  <c r="AW43" i="8" s="1"/>
  <c r="AS46" i="8"/>
  <c r="AK46" i="8"/>
  <c r="AI45" i="8"/>
  <c r="AG45" i="8" s="1"/>
  <c r="BC15" i="7"/>
  <c r="BA15" i="7" s="1"/>
  <c r="BC19" i="7"/>
  <c r="BC23" i="7"/>
  <c r="AY43" i="8" l="1"/>
  <c r="AW44" i="8"/>
  <c r="BA23" i="7"/>
  <c r="BA19" i="7"/>
  <c r="AE45" i="8"/>
  <c r="AC45" i="8" s="1"/>
  <c r="AG44" i="8"/>
  <c r="AY20" i="7"/>
  <c r="AW20" i="7" s="1"/>
  <c r="BA46" i="8" l="1"/>
  <c r="BA42" i="8"/>
  <c r="BA38" i="8"/>
  <c r="AA51" i="8"/>
  <c r="Y51" i="8" s="1"/>
  <c r="AA46" i="8"/>
  <c r="Y46" i="8" s="1"/>
  <c r="AC44" i="8"/>
  <c r="W39" i="8"/>
  <c r="U39" i="8" s="1"/>
  <c r="U38" i="8" s="1"/>
  <c r="AM18" i="7"/>
  <c r="AU22" i="7"/>
  <c r="AS22" i="7" s="1"/>
  <c r="BC38" i="8" l="1"/>
  <c r="BE43" i="8" s="1"/>
  <c r="BA39" i="8"/>
  <c r="BC42" i="8"/>
  <c r="BA43" i="8"/>
  <c r="BC46" i="8"/>
  <c r="BA47" i="8"/>
  <c r="AK18" i="7"/>
  <c r="AK17" i="7" s="1"/>
  <c r="Y45" i="8"/>
  <c r="W43" i="8"/>
  <c r="U43" i="8" s="1"/>
  <c r="U42" i="8" s="1"/>
  <c r="Q45" i="8" s="1"/>
  <c r="Q44" i="8" s="1"/>
  <c r="W51" i="8"/>
  <c r="U51" i="8" s="1"/>
  <c r="U50" i="8" s="1"/>
  <c r="Y50" i="8"/>
  <c r="W47" i="8"/>
  <c r="U47" i="8" s="1"/>
  <c r="U46" i="8" s="1"/>
  <c r="AQ22" i="7"/>
  <c r="AO22" i="7" s="1"/>
  <c r="AM22" i="7"/>
  <c r="AK22" i="7" s="1"/>
  <c r="AI20" i="7"/>
  <c r="AG20" i="7" s="1"/>
  <c r="BG43" i="8" l="1"/>
  <c r="BI43" i="8" s="1"/>
  <c r="BE44" i="8"/>
  <c r="O45" i="8"/>
  <c r="M45" i="8" s="1"/>
  <c r="AE20" i="7"/>
  <c r="AC20" i="7" s="1"/>
  <c r="BK43" i="8" l="1"/>
  <c r="BM43" i="8" s="1"/>
  <c r="BI44" i="8"/>
  <c r="K45" i="8"/>
  <c r="I45" i="8" s="1"/>
  <c r="M44" i="8"/>
  <c r="W14" i="7"/>
  <c r="U14" i="7" s="1"/>
  <c r="U13" i="7" s="1"/>
  <c r="AA21" i="7"/>
  <c r="Y21" i="7" s="1"/>
  <c r="AA26" i="7"/>
  <c r="Y26" i="7" s="1"/>
  <c r="BO43" i="8" l="1"/>
  <c r="BQ43" i="8" s="1"/>
  <c r="BM44" i="8"/>
  <c r="G45" i="8"/>
  <c r="I44" i="8"/>
  <c r="W26" i="7"/>
  <c r="U26" i="7" s="1"/>
  <c r="W22" i="7"/>
  <c r="U22" i="7" s="1"/>
  <c r="W18" i="7"/>
  <c r="BS43" i="8" l="1"/>
  <c r="BQ44" i="8"/>
  <c r="U18" i="7"/>
  <c r="C45" i="8"/>
  <c r="A45" i="8" s="1"/>
  <c r="A44" i="8" s="1"/>
  <c r="E44" i="8"/>
  <c r="S20" i="7" l="1"/>
  <c r="Q20" i="7" s="1"/>
  <c r="O20" i="7" l="1"/>
  <c r="M20" i="7" s="1"/>
  <c r="K20" i="7" l="1"/>
  <c r="I20" i="7" s="1"/>
  <c r="G20" i="7" l="1"/>
  <c r="E20" i="7" s="1"/>
  <c r="C20" i="7" l="1"/>
  <c r="A20" i="7" s="1"/>
  <c r="G4" i="7" s="1"/>
</calcChain>
</file>

<file path=xl/sharedStrings.xml><?xml version="1.0" encoding="utf-8"?>
<sst xmlns="http://schemas.openxmlformats.org/spreadsheetml/2006/main" count="732" uniqueCount="305">
  <si>
    <r>
      <t>WBS ID</t>
    </r>
    <r>
      <rPr>
        <sz val="12"/>
        <color rgb="FF000000"/>
        <rFont val="Calibri"/>
        <charset val="1"/>
      </rPr>
      <t> </t>
    </r>
  </si>
  <si>
    <r>
      <t>DELIBERABLES</t>
    </r>
    <r>
      <rPr>
        <sz val="12"/>
        <color rgb="FF000000"/>
        <rFont val="Calibri"/>
        <charset val="1"/>
      </rPr>
      <t> </t>
    </r>
  </si>
  <si>
    <r>
      <t>RESPONSIBLE ORG.</t>
    </r>
    <r>
      <rPr>
        <sz val="12"/>
        <color rgb="FF000000"/>
        <rFont val="Calibri"/>
        <charset val="1"/>
      </rPr>
      <t> </t>
    </r>
  </si>
  <si>
    <t>1.1 </t>
  </si>
  <si>
    <t>Project Management</t>
  </si>
  <si>
    <t>Project Management Division</t>
  </si>
  <si>
    <t>1.2 </t>
  </si>
  <si>
    <t>Regulatory &amp; Environmental</t>
  </si>
  <si>
    <t>Regulatory Affairs / Environmental Services </t>
  </si>
  <si>
    <t>1.3 </t>
  </si>
  <si>
    <t>Prototype &amp; Design</t>
  </si>
  <si>
    <t>Transmission &amp; Distribution </t>
  </si>
  <si>
    <t>1.4 </t>
  </si>
  <si>
    <t>Material Procurement </t>
  </si>
  <si>
    <t>Supply Chain Management </t>
  </si>
  <si>
    <t>1.5 </t>
  </si>
  <si>
    <t>Site Easement</t>
  </si>
  <si>
    <t>Cable Installation </t>
  </si>
  <si>
    <t>Substation Construction &amp; Maintenance </t>
  </si>
  <si>
    <t>Commissioning &amp; Closeout </t>
  </si>
  <si>
    <t>Work Packages</t>
  </si>
  <si>
    <t>Time Estimate (days)</t>
  </si>
  <si>
    <t>Cost (Micro)</t>
  </si>
  <si>
    <t>Cost (Mid)</t>
  </si>
  <si>
    <t>Cost (Macro)</t>
  </si>
  <si>
    <t>1. Project Management</t>
  </si>
  <si>
    <t>-</t>
  </si>
  <si>
    <t>1.1 Project charter</t>
  </si>
  <si>
    <t>1.2 Scope of Work</t>
  </si>
  <si>
    <t>2. Regulatory &amp; Environmental</t>
  </si>
  <si>
    <t xml:space="preserve"> -</t>
  </si>
  <si>
    <t>2.1 Regulatory Permits </t>
  </si>
  <si>
    <t>2.2 Environmental Compliance </t>
  </si>
  <si>
    <r>
      <t>3. Prototypes and Designs</t>
    </r>
    <r>
      <rPr>
        <sz val="18"/>
        <color rgb="FF000000"/>
        <rFont val="Aptos"/>
        <charset val="1"/>
      </rPr>
      <t> </t>
    </r>
  </si>
  <si>
    <r>
      <t>3.1 Corridor Identification</t>
    </r>
    <r>
      <rPr>
        <sz val="12"/>
        <color rgb="FF000000"/>
        <rFont val="Aptos"/>
        <charset val="1"/>
      </rPr>
      <t> </t>
    </r>
  </si>
  <si>
    <t>3.1.1 Route alignment </t>
  </si>
  <si>
    <t>3.1.2 Seismic design &amp; load studies </t>
  </si>
  <si>
    <r>
      <t>3.2 Civil &amp; Structural Design</t>
    </r>
    <r>
      <rPr>
        <sz val="12"/>
        <color rgb="FF000000"/>
        <rFont val="Aptos"/>
        <charset val="1"/>
      </rPr>
      <t> </t>
    </r>
  </si>
  <si>
    <t>3.2.1 Footing design </t>
  </si>
  <si>
    <t>3.2.2 Tower structure design </t>
  </si>
  <si>
    <r>
      <t>3.3 Electrical &amp; Protection Design</t>
    </r>
    <r>
      <rPr>
        <sz val="12"/>
        <color rgb="FF000000"/>
        <rFont val="Aptos"/>
        <charset val="1"/>
      </rPr>
      <t> </t>
    </r>
  </si>
  <si>
    <t>3.3.1 Cable sizing &amp; specification </t>
  </si>
  <si>
    <t>3.3.2 Grounding system design </t>
  </si>
  <si>
    <t>3.3.3 Relay/protection coordination </t>
  </si>
  <si>
    <r>
      <rPr>
        <b/>
        <sz val="18"/>
        <color rgb="FF000000"/>
        <rFont val="Aptos"/>
      </rPr>
      <t>4. Materials Procurement</t>
    </r>
    <r>
      <rPr>
        <sz val="18"/>
        <color rgb="FF000000"/>
        <rFont val="Aptos"/>
      </rPr>
      <t> </t>
    </r>
  </si>
  <si>
    <t>4.1 500kV cable procurement</t>
  </si>
  <si>
    <t>4.2 Tower Structural Materials </t>
  </si>
  <si>
    <t>5. Site Easement</t>
  </si>
  <si>
    <r>
      <rPr>
        <b/>
        <sz val="12"/>
        <color rgb="FF000000"/>
        <rFont val="Aptos"/>
      </rPr>
      <t>5.1 Site Preparation</t>
    </r>
    <r>
      <rPr>
        <sz val="12"/>
        <color rgb="FF000000"/>
        <rFont val="Aptos"/>
      </rPr>
      <t> </t>
    </r>
  </si>
  <si>
    <t>5.1.1 Surveying &amp; staking </t>
  </si>
  <si>
    <t>5.1.2 Clearing &amp; grading </t>
  </si>
  <si>
    <r>
      <rPr>
        <b/>
        <sz val="12"/>
        <color rgb="FF000000"/>
        <rFont val="Aptos"/>
      </rPr>
      <t>5.2 Tower Construction</t>
    </r>
    <r>
      <rPr>
        <sz val="12"/>
        <color rgb="FF000000"/>
        <rFont val="Aptos"/>
      </rPr>
      <t> </t>
    </r>
  </si>
  <si>
    <t>5.2.2 Tower structure construction </t>
  </si>
  <si>
    <t>5.2.3 Tower structure Assembly </t>
  </si>
  <si>
    <r>
      <rPr>
        <b/>
        <sz val="18"/>
        <color rgb="FF000000"/>
        <rFont val="Aptos"/>
      </rPr>
      <t>6. Cable Installation</t>
    </r>
    <r>
      <rPr>
        <sz val="18"/>
        <color rgb="FF000000"/>
        <rFont val="Aptos"/>
      </rPr>
      <t> </t>
    </r>
  </si>
  <si>
    <r>
      <rPr>
        <b/>
        <sz val="12"/>
        <color rgb="FF000000"/>
        <rFont val="Aptos"/>
      </rPr>
      <t>6.1 Cable Pulling</t>
    </r>
    <r>
      <rPr>
        <sz val="12"/>
        <color rgb="FF000000"/>
        <rFont val="Aptos"/>
      </rPr>
      <t> </t>
    </r>
  </si>
  <si>
    <t>6.1.1 Cable drum delivery &amp; setup </t>
  </si>
  <si>
    <t>6.1.2 Cable pulling operations </t>
  </si>
  <si>
    <t>6.1.3 Cable Splicing </t>
  </si>
  <si>
    <t>6.1.4 Cable Testing</t>
  </si>
  <si>
    <r>
      <rPr>
        <b/>
        <sz val="18"/>
        <color rgb="FF000000"/>
        <rFont val="Aptos"/>
      </rPr>
      <t>7. Commissioning &amp; Closeout</t>
    </r>
    <r>
      <rPr>
        <sz val="18"/>
        <color rgb="FF000000"/>
        <rFont val="Aptos"/>
      </rPr>
      <t> </t>
    </r>
  </si>
  <si>
    <r>
      <rPr>
        <b/>
        <sz val="12"/>
        <color rgb="FF000000"/>
        <rFont val="Aptos"/>
      </rPr>
      <t>7.1 System Energization</t>
    </r>
    <r>
      <rPr>
        <sz val="12"/>
        <color rgb="FF000000"/>
        <rFont val="Aptos"/>
      </rPr>
      <t> </t>
    </r>
  </si>
  <si>
    <t>7.1.1 Pre-energization checklist </t>
  </si>
  <si>
    <t>7.1.2 Energization testing </t>
  </si>
  <si>
    <r>
      <rPr>
        <b/>
        <sz val="12"/>
        <color rgb="FF000000"/>
        <rFont val="Aptos"/>
      </rPr>
      <t>7.2 Project Closeout</t>
    </r>
    <r>
      <rPr>
        <sz val="12"/>
        <color rgb="FF000000"/>
        <rFont val="Aptos"/>
      </rPr>
      <t> </t>
    </r>
  </si>
  <si>
    <t>7.2.1 As-built documentation </t>
  </si>
  <si>
    <t>7.2.2 Lessons learned Report</t>
  </si>
  <si>
    <t>Totals (concurrency not factored)</t>
  </si>
  <si>
    <t>WBS ID</t>
  </si>
  <si>
    <t>Deliverable</t>
  </si>
  <si>
    <t>Project Manager</t>
  </si>
  <si>
    <t>Engineering Lead</t>
  </si>
  <si>
    <t>Procurement Lead</t>
  </si>
  <si>
    <t>Construction Lead</t>
  </si>
  <si>
    <t>Regulatory Affairs</t>
  </si>
  <si>
    <t>Community Relations</t>
  </si>
  <si>
    <t>LEGEND</t>
  </si>
  <si>
    <t>R</t>
  </si>
  <si>
    <t>I</t>
  </si>
  <si>
    <t>S</t>
  </si>
  <si>
    <t>C</t>
  </si>
  <si>
    <t>Responsible</t>
  </si>
  <si>
    <t>Directly Doing work</t>
  </si>
  <si>
    <t>Support</t>
  </si>
  <si>
    <t>Supporting the work</t>
  </si>
  <si>
    <t>Prototype &amp; Designs</t>
  </si>
  <si>
    <t>Consult</t>
  </si>
  <si>
    <t>Consulting</t>
  </si>
  <si>
    <t xml:space="preserve">Materials Procurement </t>
  </si>
  <si>
    <t>Informed</t>
  </si>
  <si>
    <t>Just gets informed</t>
  </si>
  <si>
    <t>Cable Installation</t>
  </si>
  <si>
    <t>Commissioning &amp; Closeout</t>
  </si>
  <si>
    <t>Total Slack</t>
  </si>
  <si>
    <t xml:space="preserve">1.1=1509, 1.2=1509, 2.1=1510, 2.2=1509, 3.1.1=1509, 3.1.2=1515, 3.2.1=1515, 3.2.2=1515, 3.3.1=1529, 3.3.2=1509, 3.3.3=1515, 4.1=1509, 4.2=1509, 5.1.1= 1537, 5.1.2=1509, 5.2.2=1509, 5.2.3= 1548, 6.1.1=1509, </t>
  </si>
  <si>
    <t>ES</t>
  </si>
  <si>
    <t>ID</t>
  </si>
  <si>
    <t>EF</t>
  </si>
  <si>
    <t>Critical Paths</t>
  </si>
  <si>
    <t>1.1-&gt;1.2-&gt;2.2-&gt;3.1.1-&gt;3.3.2-&gt;4.1-&gt;4.2-&gt;5.1.2-&gt;6.1.1-&gt;6.1.2-&gt;7.1.1-&gt;7.1.2-&gt;7.1.2-&gt;7.2.1-&gt;7.2.2</t>
  </si>
  <si>
    <t>SL</t>
  </si>
  <si>
    <t>DESCRIPTION</t>
  </si>
  <si>
    <t>1.1-&gt;1.2-&gt;2.2-&gt;3.1.1-&gt;3.3.2-&gt;4.1-&gt;4.2-&gt;5.2.2-&gt;6.1.1-&gt;6.1.2-&gt;7.1.1-&gt;7.1.2-&gt;7.1.2-&gt;7.2.1-&gt;7.2.2</t>
  </si>
  <si>
    <t>LS</t>
  </si>
  <si>
    <t>DUR</t>
  </si>
  <si>
    <t>LF</t>
  </si>
  <si>
    <t>Sensitivity</t>
  </si>
  <si>
    <t>High</t>
  </si>
  <si>
    <t>Total Project Slack</t>
  </si>
  <si>
    <t>3.1.2</t>
  </si>
  <si>
    <t>Seismic Design</t>
  </si>
  <si>
    <t>3.2.1</t>
  </si>
  <si>
    <t>5.1.1</t>
  </si>
  <si>
    <t>Footing Design</t>
  </si>
  <si>
    <t>Survey &amp; staking</t>
  </si>
  <si>
    <t>6.1.2</t>
  </si>
  <si>
    <t>Cable pulling</t>
  </si>
  <si>
    <t>3.2.2</t>
  </si>
  <si>
    <t>5.1.2</t>
  </si>
  <si>
    <t>Regulatory permits</t>
  </si>
  <si>
    <t>Tower Structure D.</t>
  </si>
  <si>
    <t>Clearing and grading</t>
  </si>
  <si>
    <t>6.1.3</t>
  </si>
  <si>
    <t>3.1.1</t>
  </si>
  <si>
    <t>6.1.1</t>
  </si>
  <si>
    <t>Cable splicing</t>
  </si>
  <si>
    <t>7.1.1</t>
  </si>
  <si>
    <t>7.1.2</t>
  </si>
  <si>
    <t>7.2.1</t>
  </si>
  <si>
    <t>7.2.2</t>
  </si>
  <si>
    <t>Project charter</t>
  </si>
  <si>
    <t>Scope of work</t>
  </si>
  <si>
    <t>Route alignment</t>
  </si>
  <si>
    <t>3.3.1</t>
  </si>
  <si>
    <t>Cable procurement</t>
  </si>
  <si>
    <t>Tower Structure</t>
  </si>
  <si>
    <t>Cable drum delivery</t>
  </si>
  <si>
    <t>Pre-energization</t>
  </si>
  <si>
    <t>Energization</t>
  </si>
  <si>
    <t>As-built</t>
  </si>
  <si>
    <t>Lessons learn</t>
  </si>
  <si>
    <t>Cable Sizing</t>
  </si>
  <si>
    <t>5.2.2</t>
  </si>
  <si>
    <t>Tower construction</t>
  </si>
  <si>
    <t>6.1.4</t>
  </si>
  <si>
    <t xml:space="preserve">Environmental compliance </t>
  </si>
  <si>
    <t>Cable testing</t>
  </si>
  <si>
    <t>3.3.2</t>
  </si>
  <si>
    <t>Grounding Design</t>
  </si>
  <si>
    <t>5.2.3</t>
  </si>
  <si>
    <t>Tower assembly</t>
  </si>
  <si>
    <t>3.3.3</t>
  </si>
  <si>
    <t>Relay coordinatIon</t>
  </si>
  <si>
    <t>JOB PACKAGES</t>
  </si>
  <si>
    <t>Time estimate (Days)</t>
  </si>
  <si>
    <t>RESOURCES</t>
  </si>
  <si>
    <t>Project Duration (Days)</t>
  </si>
  <si>
    <t>Project Manager (PM)</t>
  </si>
  <si>
    <t>Scope of Work</t>
  </si>
  <si>
    <t>Regulatory Permits </t>
  </si>
  <si>
    <t>Regulatory Specialist (RS) / Compliance Specialist (CS)</t>
  </si>
  <si>
    <t>Environmental Compliance </t>
  </si>
  <si>
    <t>Compliance Specialist (CS)</t>
  </si>
  <si>
    <t>Route alignment </t>
  </si>
  <si>
    <t>Geotechnical Engineer (GE)</t>
  </si>
  <si>
    <t>Seismic design &amp; load studies </t>
  </si>
  <si>
    <t>Geotechnical Engineer (GE) / Structural Engineer (SE)</t>
  </si>
  <si>
    <t>Footing design </t>
  </si>
  <si>
    <t>Structural Engineer (SE)</t>
  </si>
  <si>
    <t>Tower structure design </t>
  </si>
  <si>
    <t>Cable sizing &amp; specification </t>
  </si>
  <si>
    <t>Electrical Engineer (EE)</t>
  </si>
  <si>
    <t>Grounding system design </t>
  </si>
  <si>
    <t>Relay/protection coordination </t>
  </si>
  <si>
    <t>Logistics Coordinator (LC)</t>
  </si>
  <si>
    <t>500kV cable procurement</t>
  </si>
  <si>
    <t>Tower Structural Materials </t>
  </si>
  <si>
    <t>Surveying &amp; staking </t>
  </si>
  <si>
    <t>Clearing &amp; grading </t>
  </si>
  <si>
    <t>Construction Manager (CM)</t>
  </si>
  <si>
    <t>Tower structure construction </t>
  </si>
  <si>
    <t>Tower structure Assembly </t>
  </si>
  <si>
    <t>Cable drum delivery &amp; setup </t>
  </si>
  <si>
    <t>Cable pulling operations </t>
  </si>
  <si>
    <t>Cable Splicing </t>
  </si>
  <si>
    <t xml:space="preserve">Cable Splicing Specialist (CS) / Electrical Engineer (EE)  </t>
  </si>
  <si>
    <t>Cable Testing</t>
  </si>
  <si>
    <t>QA-QC Engineer (QA)</t>
  </si>
  <si>
    <t>Pre-energization checklist </t>
  </si>
  <si>
    <t>Energization testing </t>
  </si>
  <si>
    <t>QA-QC Engineer (QA) / Electrical Engineer (EE)</t>
  </si>
  <si>
    <t>As-built documentation </t>
  </si>
  <si>
    <t>Project Manager (PM) / Structural Engineer (SE) / Electrical Engineer (EE)</t>
  </si>
  <si>
    <t>Lessons learned Report</t>
  </si>
  <si>
    <t>Critical Path(s)</t>
  </si>
  <si>
    <t>DESCRIPTION / RESOURCE(s)</t>
  </si>
  <si>
    <t>Medium</t>
  </si>
  <si>
    <t>Seismic Design (GE) (SC)</t>
  </si>
  <si>
    <t>Cable pulling (CM)</t>
  </si>
  <si>
    <t>Footing Design (SE)</t>
  </si>
  <si>
    <t xml:space="preserve">Survey &amp; staking (GE) </t>
  </si>
  <si>
    <t xml:space="preserve">Cable splicing (CS) (EE) </t>
  </si>
  <si>
    <t>Project charter (PM)</t>
  </si>
  <si>
    <t>Scope of work (PM)</t>
  </si>
  <si>
    <t>Environmental compliance (CS)</t>
  </si>
  <si>
    <t>Regulatory permits (RS) (CS)</t>
  </si>
  <si>
    <t>Route alignment (GE)</t>
  </si>
  <si>
    <t>Cable procurement (EE)</t>
  </si>
  <si>
    <t>Tower Structure (SE)</t>
  </si>
  <si>
    <t>Cable drum delivery  (LC)</t>
  </si>
  <si>
    <t>Pre-energization (QA)</t>
  </si>
  <si>
    <t>Energization (QA)</t>
  </si>
  <si>
    <t>As-built (PM) (SE) (EE)</t>
  </si>
  <si>
    <t>Lessons learn (PM)</t>
  </si>
  <si>
    <t>Tower Structure D. (SE)</t>
  </si>
  <si>
    <t>Relay coordinatIon (LC)</t>
  </si>
  <si>
    <t>Clearing and grading (CM)</t>
  </si>
  <si>
    <t>Tower construction (CM)</t>
  </si>
  <si>
    <t>Tower assembly (CM)</t>
  </si>
  <si>
    <t>Cable testing (QA)</t>
  </si>
  <si>
    <t>Grounding Design (EE)</t>
  </si>
  <si>
    <t>Cable Sizing (EE)</t>
  </si>
  <si>
    <t>Loading Schedule (Weekdays only)</t>
  </si>
  <si>
    <t>Months</t>
  </si>
  <si>
    <t>PM</t>
  </si>
  <si>
    <t>CS</t>
  </si>
  <si>
    <t>RS</t>
  </si>
  <si>
    <t>GE</t>
  </si>
  <si>
    <t>SC</t>
  </si>
  <si>
    <t>SE</t>
  </si>
  <si>
    <t>LC</t>
  </si>
  <si>
    <t>EE</t>
  </si>
  <si>
    <t>CM</t>
  </si>
  <si>
    <t>QA</t>
  </si>
  <si>
    <t>Project Start Date: 01/05/2026</t>
  </si>
  <si>
    <t>Months --&gt;</t>
  </si>
  <si>
    <t>DUR(Weeks) Weekdays Only</t>
  </si>
  <si>
    <t>Job Package</t>
  </si>
  <si>
    <t>Budget ($000)</t>
  </si>
  <si>
    <t>Total ($000)</t>
  </si>
  <si>
    <t>Environmental Compliance</t>
  </si>
  <si>
    <t>Regulatory Permits</t>
  </si>
  <si>
    <t>Seismic design &amp; load studies</t>
  </si>
  <si>
    <t>Footing design</t>
  </si>
  <si>
    <t>Relay/protection coordination</t>
  </si>
  <si>
    <t>Grounding system design</t>
  </si>
  <si>
    <t>Tower structure design</t>
  </si>
  <si>
    <t>Cable sizing &amp; specification</t>
  </si>
  <si>
    <t>500kV cable procurement</t>
  </si>
  <si>
    <t>Tower Structural Materials</t>
  </si>
  <si>
    <t>Surveying &amp; staking</t>
  </si>
  <si>
    <t>Clearing &amp; grading</t>
  </si>
  <si>
    <t>Tower structure construction</t>
  </si>
  <si>
    <t>Tower structure Assembly</t>
  </si>
  <si>
    <t>Cable drum delivery &amp; setup</t>
  </si>
  <si>
    <t>Cable pulling operations</t>
  </si>
  <si>
    <t>Cable Splicing</t>
  </si>
  <si>
    <t>Pre-energization checklist</t>
  </si>
  <si>
    <t>Energization testing</t>
  </si>
  <si>
    <t>As-built documentation</t>
  </si>
  <si>
    <t xml:space="preserve">
</t>
  </si>
  <si>
    <t>Total</t>
  </si>
  <si>
    <t>Cumulative</t>
  </si>
  <si>
    <t xml:space="preserve">Total Indirect cost </t>
  </si>
  <si>
    <t>Saving per Unit Reduced</t>
  </si>
  <si>
    <t xml:space="preserve">Duration </t>
  </si>
  <si>
    <t xml:space="preserve">Total Direct Cost </t>
  </si>
  <si>
    <t xml:space="preserve">Actual cost </t>
  </si>
  <si>
    <t>Activity</t>
  </si>
  <si>
    <t xml:space="preserve">Crash Cost </t>
  </si>
  <si>
    <t xml:space="preserve">Maximum Crash Time </t>
  </si>
  <si>
    <t>Normal Time</t>
  </si>
  <si>
    <t xml:space="preserve">Normal Cost </t>
  </si>
  <si>
    <t xml:space="preserve">Indirect Cost </t>
  </si>
  <si>
    <t>Cable procurement (LC)</t>
  </si>
  <si>
    <t>Cable drum delivery  (LC) (CM)</t>
  </si>
  <si>
    <t>Cable Sizing (EE) (LC)</t>
  </si>
  <si>
    <t>Duration</t>
  </si>
  <si>
    <t>Project Charter</t>
  </si>
  <si>
    <t>Route Alignment</t>
  </si>
  <si>
    <t xml:space="preserve">Actual Cost </t>
  </si>
  <si>
    <t xml:space="preserve">Direct Cost </t>
  </si>
  <si>
    <t xml:space="preserve">New Actual cost </t>
  </si>
  <si>
    <t>New Duration</t>
  </si>
  <si>
    <t>Status Report: Ending Month 1</t>
  </si>
  <si>
    <t>Task</t>
  </si>
  <si>
    <t>% Complete</t>
  </si>
  <si>
    <t>EV</t>
  </si>
  <si>
    <t>AC</t>
  </si>
  <si>
    <t>PV</t>
  </si>
  <si>
    <t>CV</t>
  </si>
  <si>
    <t>SV</t>
  </si>
  <si>
    <t>Totals</t>
  </si>
  <si>
    <t>Status Report: Ending Month 2</t>
  </si>
  <si>
    <t>Status Report: Ending Month 3</t>
  </si>
  <si>
    <t>Status Report: Ending Month 4</t>
  </si>
  <si>
    <t>Status Report: Ending Month 5</t>
  </si>
  <si>
    <t>Performance Indexes Summary</t>
  </si>
  <si>
    <t>Period</t>
  </si>
  <si>
    <t>SPI</t>
  </si>
  <si>
    <t>CPI</t>
  </si>
  <si>
    <t>PCI-B</t>
  </si>
  <si>
    <t>EACf</t>
  </si>
  <si>
    <t>=</t>
  </si>
  <si>
    <t>VACf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</si>
</sst>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"/>
    <numFmt numFmtId="166" formatCode="_([$$-409]* #,##0.00_);_([$$-409]* \(#,##0.00\);_([$$-409]* &quot;-&quot;??_);_(@_)"/>
    <numFmt numFmtId="167" formatCode="0.000"/>
  </numFmts>
  <fonts count="29">
    <font>
      <sz val="11"/>
      <color theme="1"/>
      <name val="Aptos Narrow"/>
      <family val="2"/>
      <scheme val="minor"/>
    </font>
    <font>
      <sz val="8"/>
      <color rgb="FF000000"/>
      <name val="Calibri"/>
      <charset val="1"/>
    </font>
    <font>
      <b/>
      <sz val="11"/>
      <color theme="1"/>
      <name val="Aptos Narrow"/>
      <family val="2"/>
      <scheme val="minor"/>
    </font>
    <font>
      <sz val="18"/>
      <color rgb="FF000000"/>
      <name val="Aptos"/>
      <charset val="1"/>
    </font>
    <font>
      <b/>
      <sz val="18"/>
      <color rgb="FF000000"/>
      <name val="Aptos"/>
      <charset val="1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b/>
      <sz val="12"/>
      <color rgb="FF000000"/>
      <name val="Aptos"/>
    </font>
    <font>
      <sz val="12"/>
      <color rgb="FF000000"/>
      <name val="Aptos"/>
    </font>
    <font>
      <b/>
      <sz val="12"/>
      <color theme="1"/>
      <name val="Aptos Narrow"/>
      <family val="2"/>
      <scheme val="minor"/>
    </font>
    <font>
      <b/>
      <sz val="18"/>
      <color rgb="FF000000"/>
      <name val="Aptos"/>
    </font>
    <font>
      <sz val="18"/>
      <color rgb="FF000000"/>
      <name val="Aptos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000000"/>
      <name val="Aptos Narrow"/>
      <family val="2"/>
      <scheme val="minor"/>
    </font>
    <font>
      <b/>
      <sz val="8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6CBE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164" fontId="2" fillId="0" borderId="0" xfId="0" applyNumberFormat="1" applyFont="1" applyAlignment="1">
      <alignment horizontal="center"/>
    </xf>
    <xf numFmtId="0" fontId="10" fillId="0" borderId="0" xfId="0" applyFont="1" applyAlignment="1">
      <alignment wrapText="1"/>
    </xf>
    <xf numFmtId="0" fontId="12" fillId="0" borderId="0" xfId="0" applyFont="1"/>
    <xf numFmtId="0" fontId="8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0" fontId="9" fillId="0" borderId="0" xfId="0" applyFont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0" xfId="0" applyFont="1" applyFill="1"/>
    <xf numFmtId="0" fontId="13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wrapText="1" readingOrder="1"/>
    </xf>
    <xf numFmtId="0" fontId="15" fillId="0" borderId="2" xfId="0" applyFont="1" applyBorder="1" applyAlignment="1">
      <alignment wrapText="1" readingOrder="1"/>
    </xf>
    <xf numFmtId="0" fontId="15" fillId="0" borderId="3" xfId="0" applyFont="1" applyBorder="1" applyAlignment="1">
      <alignment wrapText="1" readingOrder="1"/>
    </xf>
    <xf numFmtId="0" fontId="14" fillId="2" borderId="1" xfId="0" applyFont="1" applyFill="1" applyBorder="1" applyAlignment="1">
      <alignment horizontal="center" wrapText="1" readingOrder="1"/>
    </xf>
    <xf numFmtId="0" fontId="15" fillId="0" borderId="2" xfId="0" applyFont="1" applyBorder="1" applyAlignment="1">
      <alignment horizontal="center" wrapText="1" readingOrder="1"/>
    </xf>
    <xf numFmtId="0" fontId="15" fillId="0" borderId="3" xfId="0" applyFont="1" applyBorder="1" applyAlignment="1">
      <alignment horizontal="center" wrapText="1" readingOrder="1"/>
    </xf>
    <xf numFmtId="0" fontId="16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wrapText="1"/>
    </xf>
    <xf numFmtId="0" fontId="17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6" fillId="0" borderId="2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wrapText="1"/>
    </xf>
    <xf numFmtId="0" fontId="16" fillId="0" borderId="3" xfId="0" applyFont="1" applyBorder="1" applyAlignment="1">
      <alignment horizontal="center" wrapText="1"/>
    </xf>
    <xf numFmtId="0" fontId="18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2" fillId="0" borderId="1" xfId="0" applyFont="1" applyBorder="1"/>
    <xf numFmtId="0" fontId="19" fillId="5" borderId="1" xfId="0" applyFont="1" applyFill="1" applyBorder="1" applyAlignment="1">
      <alignment horizontal="center" wrapText="1"/>
    </xf>
    <xf numFmtId="0" fontId="21" fillId="6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7" xfId="0" applyFont="1" applyBorder="1"/>
    <xf numFmtId="165" fontId="0" fillId="0" borderId="1" xfId="0" applyNumberFormat="1" applyBorder="1"/>
    <xf numFmtId="0" fontId="23" fillId="0" borderId="1" xfId="0" applyFont="1" applyBorder="1" applyAlignment="1">
      <alignment horizontal="left"/>
    </xf>
    <xf numFmtId="0" fontId="22" fillId="0" borderId="1" xfId="0" applyFont="1" applyBorder="1"/>
    <xf numFmtId="0" fontId="0" fillId="0" borderId="0" xfId="0" applyAlignment="1">
      <alignment vertical="center"/>
    </xf>
    <xf numFmtId="0" fontId="24" fillId="0" borderId="0" xfId="0" applyFont="1" applyAlignment="1">
      <alignment wrapText="1"/>
    </xf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/>
    <xf numFmtId="0" fontId="13" fillId="3" borderId="1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6" fontId="0" fillId="0" borderId="0" xfId="0" applyNumberFormat="1"/>
    <xf numFmtId="164" fontId="0" fillId="0" borderId="1" xfId="0" applyNumberFormat="1" applyBorder="1"/>
    <xf numFmtId="164" fontId="25" fillId="0" borderId="1" xfId="0" applyNumberFormat="1" applyFont="1" applyBorder="1" applyAlignment="1">
      <alignment wrapText="1"/>
    </xf>
    <xf numFmtId="166" fontId="2" fillId="0" borderId="1" xfId="0" applyNumberFormat="1" applyFont="1" applyBorder="1"/>
    <xf numFmtId="0" fontId="25" fillId="3" borderId="1" xfId="0" applyFont="1" applyFill="1" applyBorder="1" applyAlignment="1">
      <alignment wrapText="1"/>
    </xf>
    <xf numFmtId="164" fontId="2" fillId="3" borderId="1" xfId="0" applyNumberFormat="1" applyFont="1" applyFill="1" applyBorder="1"/>
    <xf numFmtId="0" fontId="0" fillId="8" borderId="0" xfId="0" applyFill="1"/>
    <xf numFmtId="0" fontId="20" fillId="8" borderId="1" xfId="0" applyFont="1" applyFill="1" applyBorder="1" applyAlignment="1">
      <alignment wrapText="1"/>
    </xf>
    <xf numFmtId="2" fontId="20" fillId="6" borderId="1" xfId="0" applyNumberFormat="1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 wrapText="1"/>
    </xf>
    <xf numFmtId="0" fontId="0" fillId="0" borderId="7" xfId="0" applyBorder="1"/>
    <xf numFmtId="0" fontId="2" fillId="0" borderId="10" xfId="0" applyFont="1" applyBorder="1" applyAlignment="1">
      <alignment horizontal="center"/>
    </xf>
    <xf numFmtId="0" fontId="19" fillId="9" borderId="1" xfId="0" applyFont="1" applyFill="1" applyBorder="1" applyAlignment="1">
      <alignment wrapText="1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5" fillId="0" borderId="1" xfId="0" applyFont="1" applyBorder="1" applyAlignment="1">
      <alignment wrapText="1"/>
    </xf>
    <xf numFmtId="166" fontId="0" fillId="0" borderId="1" xfId="0" applyNumberFormat="1" applyBorder="1"/>
    <xf numFmtId="0" fontId="2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/>
    </xf>
    <xf numFmtId="0" fontId="5" fillId="7" borderId="1" xfId="0" applyFont="1" applyFill="1" applyBorder="1" applyAlignment="1">
      <alignment wrapText="1"/>
    </xf>
    <xf numFmtId="166" fontId="0" fillId="7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0" fontId="19" fillId="5" borderId="10" xfId="0" applyFont="1" applyFill="1" applyBorder="1" applyAlignment="1">
      <alignment horizontal="center" wrapText="1"/>
    </xf>
    <xf numFmtId="0" fontId="19" fillId="5" borderId="10" xfId="0" applyFont="1" applyFill="1" applyBorder="1" applyAlignment="1">
      <alignment wrapText="1"/>
    </xf>
    <xf numFmtId="0" fontId="0" fillId="0" borderId="8" xfId="0" applyBorder="1"/>
    <xf numFmtId="0" fontId="0" fillId="0" borderId="10" xfId="0" applyBorder="1"/>
    <xf numFmtId="0" fontId="17" fillId="6" borderId="1" xfId="0" applyFont="1" applyFill="1" applyBorder="1" applyAlignment="1">
      <alignment horizontal="center" wrapText="1"/>
    </xf>
    <xf numFmtId="0" fontId="26" fillId="0" borderId="0" xfId="0" applyFont="1"/>
    <xf numFmtId="0" fontId="27" fillId="0" borderId="1" xfId="0" applyFont="1" applyBorder="1"/>
    <xf numFmtId="0" fontId="26" fillId="0" borderId="1" xfId="0" applyFont="1" applyBorder="1"/>
    <xf numFmtId="2" fontId="26" fillId="0" borderId="1" xfId="0" applyNumberFormat="1" applyFont="1" applyBorder="1"/>
    <xf numFmtId="167" fontId="26" fillId="0" borderId="1" xfId="0" applyNumberFormat="1" applyFont="1" applyBorder="1"/>
    <xf numFmtId="2" fontId="28" fillId="0" borderId="1" xfId="0" applyNumberFormat="1" applyFont="1" applyBorder="1"/>
    <xf numFmtId="0" fontId="2" fillId="0" borderId="1" xfId="0" applyFont="1" applyBorder="1" applyAlignment="1"/>
    <xf numFmtId="0" fontId="2" fillId="0" borderId="7" xfId="0" applyFont="1" applyBorder="1" applyAlignment="1"/>
    <xf numFmtId="0" fontId="0" fillId="0" borderId="1" xfId="0" applyBorder="1" applyAlignment="1"/>
    <xf numFmtId="0" fontId="2" fillId="0" borderId="10" xfId="0" applyFont="1" applyBorder="1" applyAlignment="1"/>
    <xf numFmtId="0" fontId="2" fillId="0" borderId="12" xfId="0" applyFont="1" applyBorder="1" applyAlignment="1"/>
    <xf numFmtId="0" fontId="2" fillId="0" borderId="8" xfId="0" applyFont="1" applyBorder="1" applyAlignment="1"/>
    <xf numFmtId="0" fontId="2" fillId="0" borderId="0" xfId="0" applyFont="1" applyAlignment="1"/>
    <xf numFmtId="0" fontId="2" fillId="4" borderId="0" xfId="0" applyFont="1" applyFill="1" applyAlignment="1"/>
    <xf numFmtId="0" fontId="2" fillId="3" borderId="0" xfId="0" applyFont="1" applyFill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Cost/Schedule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'Status Report'!$C$51</c:f>
              <c:strCache>
                <c:ptCount val="1"/>
                <c:pt idx="0">
                  <c:v>EV</c:v>
                </c:pt>
              </c:strCache>
            </c:strRef>
          </c:tx>
          <c:spPr>
            <a:ln w="28575" cap="rnd">
              <a:solidFill>
                <a:srgbClr val="8ED973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'Status Report'!$C$52:$C$56</c:f>
              <c:numCache>
                <c:formatCode>General</c:formatCode>
                <c:ptCount val="5"/>
                <c:pt idx="0">
                  <c:v>14</c:v>
                </c:pt>
                <c:pt idx="1">
                  <c:v>45</c:v>
                </c:pt>
                <c:pt idx="2">
                  <c:v>112</c:v>
                </c:pt>
                <c:pt idx="3">
                  <c:v>281</c:v>
                </c:pt>
                <c:pt idx="4">
                  <c:v>434.5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9-4DBD-AFDF-B87CDFCF87EC}"/>
            </c:ext>
          </c:extLst>
        </c:ser>
        <c:ser>
          <c:idx val="1"/>
          <c:order val="1"/>
          <c:tx>
            <c:strRef>
              <c:f>'Status Report'!$D$51</c:f>
              <c:strCache>
                <c:ptCount val="1"/>
                <c:pt idx="0">
                  <c:v>AC</c:v>
                </c:pt>
              </c:strCache>
            </c:strRef>
          </c:tx>
          <c:spPr>
            <a:ln w="28575" cap="rnd">
              <a:solidFill>
                <a:srgbClr val="43AEE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'Status Report'!$D$52:$D$56</c:f>
              <c:numCache>
                <c:formatCode>General</c:formatCode>
                <c:ptCount val="5"/>
                <c:pt idx="0">
                  <c:v>15</c:v>
                </c:pt>
                <c:pt idx="1">
                  <c:v>50</c:v>
                </c:pt>
                <c:pt idx="2">
                  <c:v>129</c:v>
                </c:pt>
                <c:pt idx="3">
                  <c:v>306</c:v>
                </c:pt>
                <c:pt idx="4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39-4DBD-AFDF-B87CDFCF87EC}"/>
            </c:ext>
          </c:extLst>
        </c:ser>
        <c:ser>
          <c:idx val="2"/>
          <c:order val="2"/>
          <c:tx>
            <c:strRef>
              <c:f>'Status Report'!$E$51</c:f>
              <c:strCache>
                <c:ptCount val="1"/>
                <c:pt idx="0">
                  <c:v>PV</c:v>
                </c:pt>
              </c:strCache>
            </c:strRef>
          </c:tx>
          <c:spPr>
            <a:ln w="28575" cap="rnd">
              <a:solidFill>
                <a:srgbClr val="F1A983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'Status Report'!$E$52:$E$56</c:f>
              <c:numCache>
                <c:formatCode>General</c:formatCode>
                <c:ptCount val="5"/>
                <c:pt idx="0">
                  <c:v>15</c:v>
                </c:pt>
                <c:pt idx="1">
                  <c:v>52</c:v>
                </c:pt>
                <c:pt idx="2">
                  <c:v>130</c:v>
                </c:pt>
                <c:pt idx="3">
                  <c:v>308</c:v>
                </c:pt>
                <c:pt idx="4">
                  <c:v>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39-4DBD-AFDF-B87CDFCF8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207431"/>
        <c:axId val="88883720"/>
      </c:lineChart>
      <c:catAx>
        <c:axId val="1343207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3720"/>
        <c:crosses val="autoZero"/>
        <c:auto val="1"/>
        <c:lblAlgn val="ctr"/>
        <c:lblOffset val="100"/>
        <c:noMultiLvlLbl val="0"/>
      </c:catAx>
      <c:valAx>
        <c:axId val="8888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0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0</xdr:row>
      <xdr:rowOff>-1743075</xdr:rowOff>
    </xdr:from>
    <xdr:to>
      <xdr:col>9</xdr:col>
      <xdr:colOff>95250</xdr:colOff>
      <xdr:row>0</xdr:row>
      <xdr:rowOff>-1743075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C598F36-FAB9-4265-92E4-AB23F40D206A}"/>
            </a:ext>
            <a:ext uri="{147F2762-F138-4A5C-976F-8EAC2B608ADB}">
              <a16:predDERef xmlns:a16="http://schemas.microsoft.com/office/drawing/2014/main" pred="{76167114-3CEE-DE3A-C4F7-B51F6957437D}"/>
            </a:ext>
          </a:extLst>
        </xdr:cNvPr>
        <xdr:cNvCxnSpPr>
          <a:cxnSpLocks/>
        </xdr:cNvCxnSpPr>
      </xdr:nvCxnSpPr>
      <xdr:spPr>
        <a:xfrm>
          <a:off x="5029200" y="-1743075"/>
          <a:ext cx="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18</xdr:row>
      <xdr:rowOff>76200</xdr:rowOff>
    </xdr:from>
    <xdr:to>
      <xdr:col>3</xdr:col>
      <xdr:colOff>571500</xdr:colOff>
      <xdr:row>18</xdr:row>
      <xdr:rowOff>85725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242C0FB1-F238-D766-F5E8-DEF9F7C99760}"/>
            </a:ext>
            <a:ext uri="{147F2762-F138-4A5C-976F-8EAC2B608ADB}">
              <a16:predDERef xmlns:a16="http://schemas.microsoft.com/office/drawing/2014/main" pred="{A9F89440-95D2-491B-B91D-944274788150}"/>
            </a:ext>
          </a:extLst>
        </xdr:cNvPr>
        <xdr:cNvCxnSpPr>
          <a:cxnSpLocks/>
        </xdr:cNvCxnSpPr>
      </xdr:nvCxnSpPr>
      <xdr:spPr>
        <a:xfrm>
          <a:off x="1628775" y="3505200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18</xdr:row>
      <xdr:rowOff>85725</xdr:rowOff>
    </xdr:from>
    <xdr:to>
      <xdr:col>24</xdr:col>
      <xdr:colOff>0</xdr:colOff>
      <xdr:row>18</xdr:row>
      <xdr:rowOff>95250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74E8BCA6-1358-442F-B1F5-D9DB5D427BAF}"/>
            </a:ext>
            <a:ext uri="{147F2762-F138-4A5C-976F-8EAC2B608ADB}">
              <a16:predDERef xmlns:a16="http://schemas.microsoft.com/office/drawing/2014/main" pred="{242C0FB1-F238-D766-F5E8-DEF9F7C99760}"/>
            </a:ext>
          </a:extLst>
        </xdr:cNvPr>
        <xdr:cNvCxnSpPr>
          <a:cxnSpLocks/>
        </xdr:cNvCxnSpPr>
      </xdr:nvCxnSpPr>
      <xdr:spPr>
        <a:xfrm>
          <a:off x="13154025" y="3514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18</xdr:row>
      <xdr:rowOff>85725</xdr:rowOff>
    </xdr:from>
    <xdr:to>
      <xdr:col>44</xdr:col>
      <xdr:colOff>0</xdr:colOff>
      <xdr:row>18</xdr:row>
      <xdr:rowOff>95250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F7525425-44EA-48B3-8848-53E14881D282}"/>
            </a:ext>
            <a:ext uri="{147F2762-F138-4A5C-976F-8EAC2B608ADB}">
              <a16:predDERef xmlns:a16="http://schemas.microsoft.com/office/drawing/2014/main" pred="{74E8BCA6-1358-442F-B1F5-D9DB5D427BAF}"/>
            </a:ext>
          </a:extLst>
        </xdr:cNvPr>
        <xdr:cNvCxnSpPr>
          <a:cxnSpLocks/>
        </xdr:cNvCxnSpPr>
      </xdr:nvCxnSpPr>
      <xdr:spPr>
        <a:xfrm>
          <a:off x="25346025" y="3514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18</xdr:row>
      <xdr:rowOff>95250</xdr:rowOff>
    </xdr:from>
    <xdr:to>
      <xdr:col>48</xdr:col>
      <xdr:colOff>0</xdr:colOff>
      <xdr:row>18</xdr:row>
      <xdr:rowOff>104775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9A37C453-4720-4B64-A252-5C495A763BBC}"/>
            </a:ext>
            <a:ext uri="{147F2762-F138-4A5C-976F-8EAC2B608ADB}">
              <a16:predDERef xmlns:a16="http://schemas.microsoft.com/office/drawing/2014/main" pred="{F7525425-44EA-48B3-8848-53E14881D282}"/>
            </a:ext>
          </a:extLst>
        </xdr:cNvPr>
        <xdr:cNvCxnSpPr>
          <a:cxnSpLocks/>
        </xdr:cNvCxnSpPr>
      </xdr:nvCxnSpPr>
      <xdr:spPr>
        <a:xfrm>
          <a:off x="27784425" y="3524250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18</xdr:row>
      <xdr:rowOff>85725</xdr:rowOff>
    </xdr:from>
    <xdr:to>
      <xdr:col>51</xdr:col>
      <xdr:colOff>590550</xdr:colOff>
      <xdr:row>18</xdr:row>
      <xdr:rowOff>95250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EFC42AD3-C594-4558-B998-FBF1826FE326}"/>
            </a:ext>
            <a:ext uri="{147F2762-F138-4A5C-976F-8EAC2B608ADB}">
              <a16:predDERef xmlns:a16="http://schemas.microsoft.com/office/drawing/2014/main" pred="{9A37C453-4720-4B64-A252-5C495A763BBC}"/>
            </a:ext>
          </a:extLst>
        </xdr:cNvPr>
        <xdr:cNvCxnSpPr>
          <a:cxnSpLocks/>
        </xdr:cNvCxnSpPr>
      </xdr:nvCxnSpPr>
      <xdr:spPr>
        <a:xfrm>
          <a:off x="30203775" y="3514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18</xdr:row>
      <xdr:rowOff>47625</xdr:rowOff>
    </xdr:from>
    <xdr:to>
      <xdr:col>7</xdr:col>
      <xdr:colOff>581025</xdr:colOff>
      <xdr:row>21</xdr:row>
      <xdr:rowOff>85725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B3E7FD7E-654A-122C-4518-4B9AB9ED57C7}"/>
            </a:ext>
            <a:ext uri="{147F2762-F138-4A5C-976F-8EAC2B608ADB}">
              <a16:predDERef xmlns:a16="http://schemas.microsoft.com/office/drawing/2014/main" pred="{EFC42AD3-C594-4558-B998-FBF1826FE326}"/>
            </a:ext>
          </a:extLst>
        </xdr:cNvPr>
        <xdr:cNvCxnSpPr>
          <a:cxnSpLocks/>
        </xdr:cNvCxnSpPr>
      </xdr:nvCxnSpPr>
      <xdr:spPr>
        <a:xfrm>
          <a:off x="3886200" y="3476625"/>
          <a:ext cx="590550" cy="6096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15</xdr:row>
      <xdr:rowOff>85725</xdr:rowOff>
    </xdr:from>
    <xdr:to>
      <xdr:col>8</xdr:col>
      <xdr:colOff>9525</xdr:colOff>
      <xdr:row>18</xdr:row>
      <xdr:rowOff>76200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AE7619-667A-4B25-B1D0-C9634108909F}"/>
            </a:ext>
            <a:ext uri="{147F2762-F138-4A5C-976F-8EAC2B608ADB}">
              <a16:predDERef xmlns:a16="http://schemas.microsoft.com/office/drawing/2014/main" pred="{B3E7FD7E-654A-122C-4518-4B9AB9ED57C7}"/>
            </a:ext>
          </a:extLst>
        </xdr:cNvPr>
        <xdr:cNvCxnSpPr>
          <a:cxnSpLocks/>
        </xdr:cNvCxnSpPr>
      </xdr:nvCxnSpPr>
      <xdr:spPr>
        <a:xfrm flipV="1">
          <a:off x="3914775" y="2943225"/>
          <a:ext cx="600075" cy="561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771525</xdr:colOff>
      <xdr:row>15</xdr:row>
      <xdr:rowOff>76200</xdr:rowOff>
    </xdr:from>
    <xdr:to>
      <xdr:col>11</xdr:col>
      <xdr:colOff>600075</xdr:colOff>
      <xdr:row>18</xdr:row>
      <xdr:rowOff>76200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A72991B-5A81-4CE3-954D-35C79716209B}"/>
            </a:ext>
            <a:ext uri="{147F2762-F138-4A5C-976F-8EAC2B608ADB}">
              <a16:predDERef xmlns:a16="http://schemas.microsoft.com/office/drawing/2014/main" pred="{51AE7619-667A-4B25-B1D0-C9634108909F}"/>
            </a:ext>
          </a:extLst>
        </xdr:cNvPr>
        <xdr:cNvCxnSpPr>
          <a:cxnSpLocks/>
        </xdr:cNvCxnSpPr>
      </xdr:nvCxnSpPr>
      <xdr:spPr>
        <a:xfrm>
          <a:off x="6315075" y="2933700"/>
          <a:ext cx="619125" cy="5715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781050</xdr:colOff>
      <xdr:row>18</xdr:row>
      <xdr:rowOff>47625</xdr:rowOff>
    </xdr:from>
    <xdr:to>
      <xdr:col>12</xdr:col>
      <xdr:colOff>0</xdr:colOff>
      <xdr:row>21</xdr:row>
      <xdr:rowOff>133350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F9243764-2BA3-428A-B022-2162A2CCFA37}"/>
            </a:ext>
            <a:ext uri="{147F2762-F138-4A5C-976F-8EAC2B608ADB}">
              <a16:predDERef xmlns:a16="http://schemas.microsoft.com/office/drawing/2014/main" pred="{3A72991B-5A81-4CE3-954D-35C79716209B}"/>
            </a:ext>
          </a:extLst>
        </xdr:cNvPr>
        <xdr:cNvCxnSpPr>
          <a:cxnSpLocks/>
        </xdr:cNvCxnSpPr>
      </xdr:nvCxnSpPr>
      <xdr:spPr>
        <a:xfrm flipV="1">
          <a:off x="6324600" y="3476625"/>
          <a:ext cx="619125" cy="6572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657225</xdr:colOff>
      <xdr:row>7</xdr:row>
      <xdr:rowOff>114300</xdr:rowOff>
    </xdr:from>
    <xdr:to>
      <xdr:col>16</xdr:col>
      <xdr:colOff>0</xdr:colOff>
      <xdr:row>18</xdr:row>
      <xdr:rowOff>85725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A185706-5AC0-49C2-AE17-6C5B0577DD57}"/>
            </a:ext>
            <a:ext uri="{147F2762-F138-4A5C-976F-8EAC2B608ADB}">
              <a16:predDERef xmlns:a16="http://schemas.microsoft.com/office/drawing/2014/main" pred="{F9243764-2BA3-428A-B022-2162A2CCFA37}"/>
            </a:ext>
          </a:extLst>
        </xdr:cNvPr>
        <xdr:cNvCxnSpPr>
          <a:cxnSpLocks/>
        </xdr:cNvCxnSpPr>
      </xdr:nvCxnSpPr>
      <xdr:spPr>
        <a:xfrm flipV="1">
          <a:off x="8601075" y="1447800"/>
          <a:ext cx="619125" cy="20669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647700</xdr:colOff>
      <xdr:row>11</xdr:row>
      <xdr:rowOff>85725</xdr:rowOff>
    </xdr:from>
    <xdr:to>
      <xdr:col>16</xdr:col>
      <xdr:colOff>19050</xdr:colOff>
      <xdr:row>18</xdr:row>
      <xdr:rowOff>76200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710BC34-E398-4BE6-80B4-98E90CEB088F}"/>
            </a:ext>
            <a:ext uri="{147F2762-F138-4A5C-976F-8EAC2B608ADB}">
              <a16:predDERef xmlns:a16="http://schemas.microsoft.com/office/drawing/2014/main" pred="{BA185706-5AC0-49C2-AE17-6C5B0577DD57}"/>
            </a:ext>
          </a:extLst>
        </xdr:cNvPr>
        <xdr:cNvCxnSpPr>
          <a:cxnSpLocks/>
        </xdr:cNvCxnSpPr>
      </xdr:nvCxnSpPr>
      <xdr:spPr>
        <a:xfrm flipV="1">
          <a:off x="8591550" y="2181225"/>
          <a:ext cx="647700" cy="1323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18</xdr:row>
      <xdr:rowOff>28575</xdr:rowOff>
    </xdr:from>
    <xdr:to>
      <xdr:col>16</xdr:col>
      <xdr:colOff>0</xdr:colOff>
      <xdr:row>19</xdr:row>
      <xdr:rowOff>95250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7B22B41-F484-4EDC-9140-6788167EE0C3}"/>
            </a:ext>
            <a:ext uri="{147F2762-F138-4A5C-976F-8EAC2B608ADB}">
              <a16:predDERef xmlns:a16="http://schemas.microsoft.com/office/drawing/2014/main" pred="{2710BC34-E398-4BE6-80B4-98E90CEB088F}"/>
            </a:ext>
          </a:extLst>
        </xdr:cNvPr>
        <xdr:cNvCxnSpPr>
          <a:cxnSpLocks/>
        </xdr:cNvCxnSpPr>
      </xdr:nvCxnSpPr>
      <xdr:spPr>
        <a:xfrm>
          <a:off x="8620125" y="3457575"/>
          <a:ext cx="600075" cy="2571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18</xdr:row>
      <xdr:rowOff>9525</xdr:rowOff>
    </xdr:from>
    <xdr:to>
      <xdr:col>15</xdr:col>
      <xdr:colOff>581025</xdr:colOff>
      <xdr:row>23</xdr:row>
      <xdr:rowOff>85725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CE6AE251-6525-470B-AF59-99B77E25983F}"/>
            </a:ext>
            <a:ext uri="{147F2762-F138-4A5C-976F-8EAC2B608ADB}">
              <a16:predDERef xmlns:a16="http://schemas.microsoft.com/office/drawing/2014/main" pred="{57B22B41-F484-4EDC-9140-6788167EE0C3}"/>
            </a:ext>
          </a:extLst>
        </xdr:cNvPr>
        <xdr:cNvCxnSpPr>
          <a:cxnSpLocks/>
        </xdr:cNvCxnSpPr>
      </xdr:nvCxnSpPr>
      <xdr:spPr>
        <a:xfrm>
          <a:off x="8620125" y="3438525"/>
          <a:ext cx="571500" cy="10287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18</xdr:row>
      <xdr:rowOff>66675</xdr:rowOff>
    </xdr:from>
    <xdr:to>
      <xdr:col>15</xdr:col>
      <xdr:colOff>600075</xdr:colOff>
      <xdr:row>27</xdr:row>
      <xdr:rowOff>104775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E0A11165-CF68-4765-8570-B71A8733AA60}"/>
            </a:ext>
            <a:ext uri="{147F2762-F138-4A5C-976F-8EAC2B608ADB}">
              <a16:predDERef xmlns:a16="http://schemas.microsoft.com/office/drawing/2014/main" pred="{CE6AE251-6525-470B-AF59-99B77E25983F}"/>
            </a:ext>
          </a:extLst>
        </xdr:cNvPr>
        <xdr:cNvCxnSpPr>
          <a:cxnSpLocks/>
        </xdr:cNvCxnSpPr>
      </xdr:nvCxnSpPr>
      <xdr:spPr>
        <a:xfrm>
          <a:off x="8620125" y="3495675"/>
          <a:ext cx="590550" cy="17526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600075</xdr:colOff>
      <xdr:row>7</xdr:row>
      <xdr:rowOff>95250</xdr:rowOff>
    </xdr:from>
    <xdr:to>
      <xdr:col>19</xdr:col>
      <xdr:colOff>600075</xdr:colOff>
      <xdr:row>18</xdr:row>
      <xdr:rowOff>114300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C4BB880B-6B7C-4DED-B299-B4C22748782F}"/>
            </a:ext>
            <a:ext uri="{147F2762-F138-4A5C-976F-8EAC2B608ADB}">
              <a16:predDERef xmlns:a16="http://schemas.microsoft.com/office/drawing/2014/main" pred="{E0A11165-CF68-4765-8570-B71A8733AA60}"/>
            </a:ext>
          </a:extLst>
        </xdr:cNvPr>
        <xdr:cNvCxnSpPr>
          <a:cxnSpLocks/>
        </xdr:cNvCxnSpPr>
      </xdr:nvCxnSpPr>
      <xdr:spPr>
        <a:xfrm>
          <a:off x="10839450" y="1428750"/>
          <a:ext cx="609600" cy="21145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11</xdr:row>
      <xdr:rowOff>95250</xdr:rowOff>
    </xdr:from>
    <xdr:to>
      <xdr:col>19</xdr:col>
      <xdr:colOff>561975</xdr:colOff>
      <xdr:row>18</xdr:row>
      <xdr:rowOff>57150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3E3EB308-B932-4146-A21F-06A8ECC63D6E}"/>
            </a:ext>
            <a:ext uri="{147F2762-F138-4A5C-976F-8EAC2B608ADB}">
              <a16:predDERef xmlns:a16="http://schemas.microsoft.com/office/drawing/2014/main" pred="{C4BB880B-6B7C-4DED-B299-B4C22748782F}"/>
            </a:ext>
          </a:extLst>
        </xdr:cNvPr>
        <xdr:cNvCxnSpPr>
          <a:cxnSpLocks/>
        </xdr:cNvCxnSpPr>
      </xdr:nvCxnSpPr>
      <xdr:spPr>
        <a:xfrm>
          <a:off x="10858500" y="2190750"/>
          <a:ext cx="552450" cy="1295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18</xdr:row>
      <xdr:rowOff>76200</xdr:rowOff>
    </xdr:from>
    <xdr:to>
      <xdr:col>19</xdr:col>
      <xdr:colOff>600075</xdr:colOff>
      <xdr:row>19</xdr:row>
      <xdr:rowOff>85725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E8A1E108-6159-44E8-8379-BA1BEDFE3FD1}"/>
            </a:ext>
            <a:ext uri="{147F2762-F138-4A5C-976F-8EAC2B608ADB}">
              <a16:predDERef xmlns:a16="http://schemas.microsoft.com/office/drawing/2014/main" pred="{3E3EB308-B932-4146-A21F-06A8ECC63D6E}"/>
            </a:ext>
          </a:extLst>
        </xdr:cNvPr>
        <xdr:cNvCxnSpPr>
          <a:cxnSpLocks/>
        </xdr:cNvCxnSpPr>
      </xdr:nvCxnSpPr>
      <xdr:spPr>
        <a:xfrm flipV="1">
          <a:off x="10858500" y="3505200"/>
          <a:ext cx="590550" cy="2000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581025</xdr:colOff>
      <xdr:row>18</xdr:row>
      <xdr:rowOff>95250</xdr:rowOff>
    </xdr:from>
    <xdr:to>
      <xdr:col>19</xdr:col>
      <xdr:colOff>581025</xdr:colOff>
      <xdr:row>23</xdr:row>
      <xdr:rowOff>47625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C511D5AB-A855-47AC-9B2D-6B9C9419AA01}"/>
            </a:ext>
            <a:ext uri="{147F2762-F138-4A5C-976F-8EAC2B608ADB}">
              <a16:predDERef xmlns:a16="http://schemas.microsoft.com/office/drawing/2014/main" pred="{E8A1E108-6159-44E8-8379-BA1BEDFE3FD1}"/>
            </a:ext>
          </a:extLst>
        </xdr:cNvPr>
        <xdr:cNvCxnSpPr>
          <a:cxnSpLocks/>
        </xdr:cNvCxnSpPr>
      </xdr:nvCxnSpPr>
      <xdr:spPr>
        <a:xfrm flipV="1">
          <a:off x="10820400" y="3524250"/>
          <a:ext cx="609600" cy="9048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600075</xdr:colOff>
      <xdr:row>18</xdr:row>
      <xdr:rowOff>114300</xdr:rowOff>
    </xdr:from>
    <xdr:to>
      <xdr:col>19</xdr:col>
      <xdr:colOff>590550</xdr:colOff>
      <xdr:row>27</xdr:row>
      <xdr:rowOff>57150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802494B9-4907-4C5A-9716-3409FDDEA0D0}"/>
            </a:ext>
            <a:ext uri="{147F2762-F138-4A5C-976F-8EAC2B608ADB}">
              <a16:predDERef xmlns:a16="http://schemas.microsoft.com/office/drawing/2014/main" pred="{C511D5AB-A855-47AC-9B2D-6B9C9419AA01}"/>
            </a:ext>
          </a:extLst>
        </xdr:cNvPr>
        <xdr:cNvCxnSpPr>
          <a:cxnSpLocks/>
        </xdr:cNvCxnSpPr>
      </xdr:nvCxnSpPr>
      <xdr:spPr>
        <a:xfrm flipV="1">
          <a:off x="10839450" y="3543300"/>
          <a:ext cx="600075" cy="16573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11</xdr:row>
      <xdr:rowOff>76200</xdr:rowOff>
    </xdr:from>
    <xdr:to>
      <xdr:col>28</xdr:col>
      <xdr:colOff>19050</xdr:colOff>
      <xdr:row>18</xdr:row>
      <xdr:rowOff>76200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65E246D0-5E6E-4B44-BA2B-9AEA64FEE9C4}"/>
            </a:ext>
            <a:ext uri="{147F2762-F138-4A5C-976F-8EAC2B608ADB}">
              <a16:predDERef xmlns:a16="http://schemas.microsoft.com/office/drawing/2014/main" pred="{802494B9-4907-4C5A-9716-3409FDDEA0D0}"/>
            </a:ext>
          </a:extLst>
        </xdr:cNvPr>
        <xdr:cNvCxnSpPr>
          <a:cxnSpLocks/>
        </xdr:cNvCxnSpPr>
      </xdr:nvCxnSpPr>
      <xdr:spPr>
        <a:xfrm flipV="1">
          <a:off x="15582900" y="2171700"/>
          <a:ext cx="619125" cy="13335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15</xdr:row>
      <xdr:rowOff>85725</xdr:rowOff>
    </xdr:from>
    <xdr:to>
      <xdr:col>28</xdr:col>
      <xdr:colOff>28575</xdr:colOff>
      <xdr:row>18</xdr:row>
      <xdr:rowOff>66675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B63CCC49-18E4-4B40-858B-87EBE0F92A6A}"/>
            </a:ext>
            <a:ext uri="{147F2762-F138-4A5C-976F-8EAC2B608ADB}">
              <a16:predDERef xmlns:a16="http://schemas.microsoft.com/office/drawing/2014/main" pred="{65E246D0-5E6E-4B44-BA2B-9AEA64FEE9C4}"/>
            </a:ext>
          </a:extLst>
        </xdr:cNvPr>
        <xdr:cNvCxnSpPr>
          <a:cxnSpLocks/>
        </xdr:cNvCxnSpPr>
      </xdr:nvCxnSpPr>
      <xdr:spPr>
        <a:xfrm flipV="1">
          <a:off x="15573375" y="2943225"/>
          <a:ext cx="638175" cy="5524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18</xdr:row>
      <xdr:rowOff>47625</xdr:rowOff>
    </xdr:from>
    <xdr:to>
      <xdr:col>27</xdr:col>
      <xdr:colOff>600075</xdr:colOff>
      <xdr:row>20</xdr:row>
      <xdr:rowOff>85725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B5E025E6-1D38-4212-95DF-716DD6E4F852}"/>
            </a:ext>
            <a:ext uri="{147F2762-F138-4A5C-976F-8EAC2B608ADB}">
              <a16:predDERef xmlns:a16="http://schemas.microsoft.com/office/drawing/2014/main" pred="{B63CCC49-18E4-4B40-858B-87EBE0F92A6A}"/>
            </a:ext>
          </a:extLst>
        </xdr:cNvPr>
        <xdr:cNvCxnSpPr>
          <a:cxnSpLocks/>
        </xdr:cNvCxnSpPr>
      </xdr:nvCxnSpPr>
      <xdr:spPr>
        <a:xfrm>
          <a:off x="15582900" y="3476625"/>
          <a:ext cx="590550" cy="4191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18</xdr:row>
      <xdr:rowOff>95250</xdr:rowOff>
    </xdr:from>
    <xdr:to>
      <xdr:col>28</xdr:col>
      <xdr:colOff>19050</xdr:colOff>
      <xdr:row>24</xdr:row>
      <xdr:rowOff>95250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2943924B-2C08-4795-91E0-E8AD0A192359}"/>
            </a:ext>
            <a:ext uri="{147F2762-F138-4A5C-976F-8EAC2B608ADB}">
              <a16:predDERef xmlns:a16="http://schemas.microsoft.com/office/drawing/2014/main" pred="{B5E025E6-1D38-4212-95DF-716DD6E4F852}"/>
            </a:ext>
          </a:extLst>
        </xdr:cNvPr>
        <xdr:cNvCxnSpPr>
          <a:cxnSpLocks/>
        </xdr:cNvCxnSpPr>
      </xdr:nvCxnSpPr>
      <xdr:spPr>
        <a:xfrm>
          <a:off x="15573375" y="3524250"/>
          <a:ext cx="628650" cy="1143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11</xdr:row>
      <xdr:rowOff>95250</xdr:rowOff>
    </xdr:from>
    <xdr:to>
      <xdr:col>32</xdr:col>
      <xdr:colOff>0</xdr:colOff>
      <xdr:row>18</xdr:row>
      <xdr:rowOff>57150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79F96CA5-A5CA-4219-A7B9-165542D203A8}"/>
            </a:ext>
            <a:ext uri="{147F2762-F138-4A5C-976F-8EAC2B608ADB}">
              <a16:predDERef xmlns:a16="http://schemas.microsoft.com/office/drawing/2014/main" pred="{2943924B-2C08-4795-91E0-E8AD0A192359}"/>
            </a:ext>
          </a:extLst>
        </xdr:cNvPr>
        <xdr:cNvCxnSpPr>
          <a:cxnSpLocks/>
        </xdr:cNvCxnSpPr>
      </xdr:nvCxnSpPr>
      <xdr:spPr>
        <a:xfrm>
          <a:off x="18011775" y="2190750"/>
          <a:ext cx="609600" cy="1295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600075</xdr:colOff>
      <xdr:row>18</xdr:row>
      <xdr:rowOff>28575</xdr:rowOff>
    </xdr:from>
    <xdr:to>
      <xdr:col>32</xdr:col>
      <xdr:colOff>9525</xdr:colOff>
      <xdr:row>24</xdr:row>
      <xdr:rowOff>95250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C2307FCB-9C4D-4253-9E57-BFD2940AD271}"/>
            </a:ext>
            <a:ext uri="{147F2762-F138-4A5C-976F-8EAC2B608ADB}">
              <a16:predDERef xmlns:a16="http://schemas.microsoft.com/office/drawing/2014/main" pred="{79F96CA5-A5CA-4219-A7B9-165542D203A8}"/>
            </a:ext>
          </a:extLst>
        </xdr:cNvPr>
        <xdr:cNvCxnSpPr>
          <a:cxnSpLocks/>
        </xdr:cNvCxnSpPr>
      </xdr:nvCxnSpPr>
      <xdr:spPr>
        <a:xfrm flipV="1">
          <a:off x="18002250" y="3457575"/>
          <a:ext cx="628650" cy="12096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18</xdr:row>
      <xdr:rowOff>57150</xdr:rowOff>
    </xdr:from>
    <xdr:to>
      <xdr:col>31</xdr:col>
      <xdr:colOff>590550</xdr:colOff>
      <xdr:row>20</xdr:row>
      <xdr:rowOff>76200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10B9915E-A646-41F0-AA75-666EFDF79000}"/>
            </a:ext>
            <a:ext uri="{147F2762-F138-4A5C-976F-8EAC2B608ADB}">
              <a16:predDERef xmlns:a16="http://schemas.microsoft.com/office/drawing/2014/main" pred="{C2307FCB-9C4D-4253-9E57-BFD2940AD271}"/>
            </a:ext>
          </a:extLst>
        </xdr:cNvPr>
        <xdr:cNvCxnSpPr>
          <a:cxnSpLocks/>
        </xdr:cNvCxnSpPr>
      </xdr:nvCxnSpPr>
      <xdr:spPr>
        <a:xfrm flipV="1">
          <a:off x="18011775" y="3486150"/>
          <a:ext cx="590550" cy="400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15</xdr:row>
      <xdr:rowOff>66675</xdr:rowOff>
    </xdr:from>
    <xdr:to>
      <xdr:col>31</xdr:col>
      <xdr:colOff>561975</xdr:colOff>
      <xdr:row>18</xdr:row>
      <xdr:rowOff>28575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798EF0E0-9F6B-4836-967A-109508A976BF}"/>
            </a:ext>
            <a:ext uri="{147F2762-F138-4A5C-976F-8EAC2B608ADB}">
              <a16:predDERef xmlns:a16="http://schemas.microsoft.com/office/drawing/2014/main" pred="{10B9915E-A646-41F0-AA75-666EFDF79000}"/>
            </a:ext>
          </a:extLst>
        </xdr:cNvPr>
        <xdr:cNvCxnSpPr>
          <a:cxnSpLocks/>
        </xdr:cNvCxnSpPr>
      </xdr:nvCxnSpPr>
      <xdr:spPr>
        <a:xfrm>
          <a:off x="18021300" y="2924175"/>
          <a:ext cx="552450" cy="533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28575</xdr:colOff>
      <xdr:row>13</xdr:row>
      <xdr:rowOff>66675</xdr:rowOff>
    </xdr:from>
    <xdr:to>
      <xdr:col>36</xdr:col>
      <xdr:colOff>9525</xdr:colOff>
      <xdr:row>18</xdr:row>
      <xdr:rowOff>57150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A029FA4C-990D-46C9-8301-708D470DB9AE}"/>
            </a:ext>
            <a:ext uri="{147F2762-F138-4A5C-976F-8EAC2B608ADB}">
              <a16:predDERef xmlns:a16="http://schemas.microsoft.com/office/drawing/2014/main" pred="{798EF0E0-9F6B-4836-967A-109508A976BF}"/>
            </a:ext>
          </a:extLst>
        </xdr:cNvPr>
        <xdr:cNvCxnSpPr>
          <a:cxnSpLocks/>
        </xdr:cNvCxnSpPr>
      </xdr:nvCxnSpPr>
      <xdr:spPr>
        <a:xfrm flipV="1">
          <a:off x="20478750" y="2543175"/>
          <a:ext cx="590550" cy="942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17</xdr:row>
      <xdr:rowOff>114300</xdr:rowOff>
    </xdr:from>
    <xdr:to>
      <xdr:col>36</xdr:col>
      <xdr:colOff>19050</xdr:colOff>
      <xdr:row>18</xdr:row>
      <xdr:rowOff>85725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3B08C710-AD39-48CC-81D1-0E680DD36264}"/>
            </a:ext>
            <a:ext uri="{147F2762-F138-4A5C-976F-8EAC2B608ADB}">
              <a16:predDERef xmlns:a16="http://schemas.microsoft.com/office/drawing/2014/main" pred="{A029FA4C-990D-46C9-8301-708D470DB9AE}"/>
            </a:ext>
          </a:extLst>
        </xdr:cNvPr>
        <xdr:cNvCxnSpPr>
          <a:cxnSpLocks/>
        </xdr:cNvCxnSpPr>
      </xdr:nvCxnSpPr>
      <xdr:spPr>
        <a:xfrm flipV="1">
          <a:off x="20450175" y="3352800"/>
          <a:ext cx="628650" cy="1619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18</xdr:row>
      <xdr:rowOff>57150</xdr:rowOff>
    </xdr:from>
    <xdr:to>
      <xdr:col>35</xdr:col>
      <xdr:colOff>561975</xdr:colOff>
      <xdr:row>21</xdr:row>
      <xdr:rowOff>76200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79C9902B-E334-494A-B55E-1873BDCEF72A}"/>
            </a:ext>
            <a:ext uri="{147F2762-F138-4A5C-976F-8EAC2B608ADB}">
              <a16:predDERef xmlns:a16="http://schemas.microsoft.com/office/drawing/2014/main" pred="{3B08C710-AD39-48CC-81D1-0E680DD36264}"/>
            </a:ext>
          </a:extLst>
        </xdr:cNvPr>
        <xdr:cNvCxnSpPr>
          <a:cxnSpLocks/>
        </xdr:cNvCxnSpPr>
      </xdr:nvCxnSpPr>
      <xdr:spPr>
        <a:xfrm>
          <a:off x="20450175" y="3486150"/>
          <a:ext cx="561975" cy="5905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13</xdr:row>
      <xdr:rowOff>104775</xdr:rowOff>
    </xdr:from>
    <xdr:to>
      <xdr:col>39</xdr:col>
      <xdr:colOff>600075</xdr:colOff>
      <xdr:row>18</xdr:row>
      <xdr:rowOff>104775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4FE5B081-9948-40B6-8308-D6C45AC2E084}"/>
            </a:ext>
            <a:ext uri="{147F2762-F138-4A5C-976F-8EAC2B608ADB}">
              <a16:predDERef xmlns:a16="http://schemas.microsoft.com/office/drawing/2014/main" pred="{79C9902B-E334-494A-B55E-1873BDCEF72A}"/>
            </a:ext>
          </a:extLst>
        </xdr:cNvPr>
        <xdr:cNvCxnSpPr>
          <a:cxnSpLocks/>
        </xdr:cNvCxnSpPr>
      </xdr:nvCxnSpPr>
      <xdr:spPr>
        <a:xfrm>
          <a:off x="22888575" y="2581275"/>
          <a:ext cx="600075" cy="9525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600075</xdr:colOff>
      <xdr:row>17</xdr:row>
      <xdr:rowOff>85725</xdr:rowOff>
    </xdr:from>
    <xdr:to>
      <xdr:col>39</xdr:col>
      <xdr:colOff>590550</xdr:colOff>
      <xdr:row>18</xdr:row>
      <xdr:rowOff>95250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7081127B-C0DF-4390-884A-27ADC99A7FEB}"/>
            </a:ext>
            <a:ext uri="{147F2762-F138-4A5C-976F-8EAC2B608ADB}">
              <a16:predDERef xmlns:a16="http://schemas.microsoft.com/office/drawing/2014/main" pred="{4FE5B081-9948-40B6-8308-D6C45AC2E084}"/>
            </a:ext>
          </a:extLst>
        </xdr:cNvPr>
        <xdr:cNvCxnSpPr>
          <a:cxnSpLocks/>
        </xdr:cNvCxnSpPr>
      </xdr:nvCxnSpPr>
      <xdr:spPr>
        <a:xfrm>
          <a:off x="22879050" y="3324225"/>
          <a:ext cx="600075" cy="2000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590550</xdr:colOff>
      <xdr:row>18</xdr:row>
      <xdr:rowOff>95250</xdr:rowOff>
    </xdr:from>
    <xdr:to>
      <xdr:col>39</xdr:col>
      <xdr:colOff>600075</xdr:colOff>
      <xdr:row>21</xdr:row>
      <xdr:rowOff>47625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5C3E8BF6-2065-454E-B1C7-FB365DC6950A}"/>
            </a:ext>
            <a:ext uri="{147F2762-F138-4A5C-976F-8EAC2B608ADB}">
              <a16:predDERef xmlns:a16="http://schemas.microsoft.com/office/drawing/2014/main" pred="{7081127B-C0DF-4390-884A-27ADC99A7FEB}"/>
            </a:ext>
          </a:extLst>
        </xdr:cNvPr>
        <xdr:cNvCxnSpPr>
          <a:cxnSpLocks/>
        </xdr:cNvCxnSpPr>
      </xdr:nvCxnSpPr>
      <xdr:spPr>
        <a:xfrm flipV="1">
          <a:off x="22869525" y="3524250"/>
          <a:ext cx="619125" cy="5238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657225</xdr:colOff>
      <xdr:row>15</xdr:row>
      <xdr:rowOff>95250</xdr:rowOff>
    </xdr:from>
    <xdr:to>
      <xdr:col>15</xdr:col>
      <xdr:colOff>571500</xdr:colOff>
      <xdr:row>18</xdr:row>
      <xdr:rowOff>85725</xdr:rowOff>
    </xdr:to>
    <xdr:cxnSp macro="">
      <xdr:nvCxnSpPr>
        <xdr:cNvPr id="5" name="Straight Connector 1">
          <a:extLst>
            <a:ext uri="{FF2B5EF4-FFF2-40B4-BE49-F238E27FC236}">
              <a16:creationId xmlns:a16="http://schemas.microsoft.com/office/drawing/2014/main" id="{478E85B2-1A16-4D29-8DE7-9B0E0A170818}"/>
            </a:ext>
            <a:ext uri="{147F2762-F138-4A5C-976F-8EAC2B608ADB}">
              <a16:predDERef xmlns:a16="http://schemas.microsoft.com/office/drawing/2014/main" pred="{5C3E8BF6-2065-454E-B1C7-FB365DC6950A}"/>
            </a:ext>
          </a:extLst>
        </xdr:cNvPr>
        <xdr:cNvCxnSpPr>
          <a:cxnSpLocks/>
        </xdr:cNvCxnSpPr>
      </xdr:nvCxnSpPr>
      <xdr:spPr>
        <a:xfrm flipV="1">
          <a:off x="8820150" y="2952750"/>
          <a:ext cx="581025" cy="561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15</xdr:row>
      <xdr:rowOff>95250</xdr:rowOff>
    </xdr:from>
    <xdr:to>
      <xdr:col>20</xdr:col>
      <xdr:colOff>0</xdr:colOff>
      <xdr:row>18</xdr:row>
      <xdr:rowOff>114300</xdr:rowOff>
    </xdr:to>
    <xdr:cxnSp macro="">
      <xdr:nvCxnSpPr>
        <xdr:cNvPr id="12" name="Straight Connector 2">
          <a:extLst>
            <a:ext uri="{FF2B5EF4-FFF2-40B4-BE49-F238E27FC236}">
              <a16:creationId xmlns:a16="http://schemas.microsoft.com/office/drawing/2014/main" id="{9B1E4EEB-FCEF-48BA-8611-FA623C048BED}"/>
            </a:ext>
            <a:ext uri="{147F2762-F138-4A5C-976F-8EAC2B608ADB}">
              <a16:predDERef xmlns:a16="http://schemas.microsoft.com/office/drawing/2014/main" pred="{478E85B2-1A16-4D29-8DE7-9B0E0A170818}"/>
            </a:ext>
          </a:extLst>
        </xdr:cNvPr>
        <xdr:cNvCxnSpPr>
          <a:cxnSpLocks/>
        </xdr:cNvCxnSpPr>
      </xdr:nvCxnSpPr>
      <xdr:spPr>
        <a:xfrm>
          <a:off x="11077575" y="2952750"/>
          <a:ext cx="600075" cy="5905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0</xdr:row>
      <xdr:rowOff>-1743075</xdr:rowOff>
    </xdr:from>
    <xdr:to>
      <xdr:col>9</xdr:col>
      <xdr:colOff>95250</xdr:colOff>
      <xdr:row>0</xdr:row>
      <xdr:rowOff>-1743075</xdr:rowOff>
    </xdr:to>
    <xdr:cxnSp macro="">
      <xdr:nvCxnSpPr>
        <xdr:cNvPr id="2" name="Straight Connector 6">
          <a:extLst>
            <a:ext uri="{FF2B5EF4-FFF2-40B4-BE49-F238E27FC236}">
              <a16:creationId xmlns:a16="http://schemas.microsoft.com/office/drawing/2014/main" id="{430FD125-57E3-4E2C-9A01-6E6C2D08A71D}"/>
            </a:ext>
            <a:ext uri="{147F2762-F138-4A5C-976F-8EAC2B608ADB}">
              <a16:predDERef xmlns:a16="http://schemas.microsoft.com/office/drawing/2014/main" pred="{76167114-3CEE-DE3A-C4F7-B51F6957437D}"/>
            </a:ext>
          </a:extLst>
        </xdr:cNvPr>
        <xdr:cNvCxnSpPr>
          <a:cxnSpLocks/>
        </xdr:cNvCxnSpPr>
      </xdr:nvCxnSpPr>
      <xdr:spPr>
        <a:xfrm>
          <a:off x="5429250" y="-1743075"/>
          <a:ext cx="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18</xdr:row>
      <xdr:rowOff>85725</xdr:rowOff>
    </xdr:from>
    <xdr:to>
      <xdr:col>3</xdr:col>
      <xdr:colOff>571500</xdr:colOff>
      <xdr:row>18</xdr:row>
      <xdr:rowOff>95250</xdr:rowOff>
    </xdr:to>
    <xdr:cxnSp macro="">
      <xdr:nvCxnSpPr>
        <xdr:cNvPr id="3" name="Straight Connector 61">
          <a:extLst>
            <a:ext uri="{FF2B5EF4-FFF2-40B4-BE49-F238E27FC236}">
              <a16:creationId xmlns:a16="http://schemas.microsoft.com/office/drawing/2014/main" id="{AFE7D478-D33F-4B18-B380-350012BF283B}"/>
            </a:ext>
            <a:ext uri="{147F2762-F138-4A5C-976F-8EAC2B608ADB}">
              <a16:predDERef xmlns:a16="http://schemas.microsoft.com/office/drawing/2014/main" pred="{430FD125-57E3-4E2C-9A01-6E6C2D08A71D}"/>
            </a:ext>
          </a:extLst>
        </xdr:cNvPr>
        <xdr:cNvCxnSpPr>
          <a:cxnSpLocks/>
        </xdr:cNvCxnSpPr>
      </xdr:nvCxnSpPr>
      <xdr:spPr>
        <a:xfrm flipV="1">
          <a:off x="2314575" y="3514725"/>
          <a:ext cx="542925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18</xdr:row>
      <xdr:rowOff>114300</xdr:rowOff>
    </xdr:from>
    <xdr:to>
      <xdr:col>31</xdr:col>
      <xdr:colOff>600075</xdr:colOff>
      <xdr:row>18</xdr:row>
      <xdr:rowOff>123825</xdr:rowOff>
    </xdr:to>
    <xdr:cxnSp macro="">
      <xdr:nvCxnSpPr>
        <xdr:cNvPr id="5" name="Straight Connector 63">
          <a:extLst>
            <a:ext uri="{FF2B5EF4-FFF2-40B4-BE49-F238E27FC236}">
              <a16:creationId xmlns:a16="http://schemas.microsoft.com/office/drawing/2014/main" id="{967DE745-6604-4457-8D4A-96A4685DBC9C}"/>
            </a:ext>
            <a:ext uri="{147F2762-F138-4A5C-976F-8EAC2B608ADB}">
              <a16:predDERef xmlns:a16="http://schemas.microsoft.com/office/drawing/2014/main" pred="{AFE7D478-D33F-4B18-B380-350012BF283B}"/>
            </a:ext>
          </a:extLst>
        </xdr:cNvPr>
        <xdr:cNvCxnSpPr>
          <a:cxnSpLocks/>
        </xdr:cNvCxnSpPr>
      </xdr:nvCxnSpPr>
      <xdr:spPr>
        <a:xfrm>
          <a:off x="20726400" y="3543300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18</xdr:row>
      <xdr:rowOff>104775</xdr:rowOff>
    </xdr:from>
    <xdr:to>
      <xdr:col>48</xdr:col>
      <xdr:colOff>0</xdr:colOff>
      <xdr:row>20</xdr:row>
      <xdr:rowOff>76200</xdr:rowOff>
    </xdr:to>
    <xdr:cxnSp macro="">
      <xdr:nvCxnSpPr>
        <xdr:cNvPr id="6" name="Straight Connector 64">
          <a:extLst>
            <a:ext uri="{FF2B5EF4-FFF2-40B4-BE49-F238E27FC236}">
              <a16:creationId xmlns:a16="http://schemas.microsoft.com/office/drawing/2014/main" id="{3503E53D-2815-4B4B-8890-647FBD545FA1}"/>
            </a:ext>
            <a:ext uri="{147F2762-F138-4A5C-976F-8EAC2B608ADB}">
              <a16:predDERef xmlns:a16="http://schemas.microsoft.com/office/drawing/2014/main" pred="{967DE745-6604-4457-8D4A-96A4685DBC9C}"/>
            </a:ext>
          </a:extLst>
        </xdr:cNvPr>
        <xdr:cNvCxnSpPr>
          <a:cxnSpLocks/>
        </xdr:cNvCxnSpPr>
      </xdr:nvCxnSpPr>
      <xdr:spPr>
        <a:xfrm flipV="1">
          <a:off x="32175450" y="3533775"/>
          <a:ext cx="590550" cy="3524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18</xdr:row>
      <xdr:rowOff>95250</xdr:rowOff>
    </xdr:from>
    <xdr:to>
      <xdr:col>7</xdr:col>
      <xdr:colOff>600075</xdr:colOff>
      <xdr:row>18</xdr:row>
      <xdr:rowOff>95250</xdr:rowOff>
    </xdr:to>
    <xdr:cxnSp macro="">
      <xdr:nvCxnSpPr>
        <xdr:cNvPr id="8" name="Straight Connector 66">
          <a:extLst>
            <a:ext uri="{FF2B5EF4-FFF2-40B4-BE49-F238E27FC236}">
              <a16:creationId xmlns:a16="http://schemas.microsoft.com/office/drawing/2014/main" id="{EF7BCB2E-F68D-4E3C-ABA7-80B2A3DD2C3A}"/>
            </a:ext>
            <a:ext uri="{147F2762-F138-4A5C-976F-8EAC2B608ADB}">
              <a16:predDERef xmlns:a16="http://schemas.microsoft.com/office/drawing/2014/main" pred="{E0D4B2B1-C8D1-4A77-B4DF-F7FDAE341BF1}"/>
            </a:ext>
          </a:extLst>
        </xdr:cNvPr>
        <xdr:cNvCxnSpPr>
          <a:cxnSpLocks/>
        </xdr:cNvCxnSpPr>
      </xdr:nvCxnSpPr>
      <xdr:spPr>
        <a:xfrm flipV="1">
          <a:off x="4314825" y="3524250"/>
          <a:ext cx="581025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1276350</xdr:colOff>
      <xdr:row>18</xdr:row>
      <xdr:rowOff>76200</xdr:rowOff>
    </xdr:from>
    <xdr:to>
      <xdr:col>11</xdr:col>
      <xdr:colOff>600075</xdr:colOff>
      <xdr:row>18</xdr:row>
      <xdr:rowOff>76200</xdr:rowOff>
    </xdr:to>
    <xdr:cxnSp macro="">
      <xdr:nvCxnSpPr>
        <xdr:cNvPr id="10" name="Straight Connector 68">
          <a:extLst>
            <a:ext uri="{FF2B5EF4-FFF2-40B4-BE49-F238E27FC236}">
              <a16:creationId xmlns:a16="http://schemas.microsoft.com/office/drawing/2014/main" id="{419759A1-7C99-465E-A067-9EB07A8FA6AB}"/>
            </a:ext>
            <a:ext uri="{147F2762-F138-4A5C-976F-8EAC2B608ADB}">
              <a16:predDERef xmlns:a16="http://schemas.microsoft.com/office/drawing/2014/main" pred="{9AFEF0CC-728B-46EC-B5F5-8AE7D0014CF0}"/>
            </a:ext>
          </a:extLst>
        </xdr:cNvPr>
        <xdr:cNvCxnSpPr>
          <a:cxnSpLocks/>
        </xdr:cNvCxnSpPr>
      </xdr:nvCxnSpPr>
      <xdr:spPr>
        <a:xfrm>
          <a:off x="7219950" y="3505200"/>
          <a:ext cx="60960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18</xdr:row>
      <xdr:rowOff>57150</xdr:rowOff>
    </xdr:from>
    <xdr:to>
      <xdr:col>16</xdr:col>
      <xdr:colOff>0</xdr:colOff>
      <xdr:row>18</xdr:row>
      <xdr:rowOff>66675</xdr:rowOff>
    </xdr:to>
    <xdr:cxnSp macro="">
      <xdr:nvCxnSpPr>
        <xdr:cNvPr id="16" name="Straight Connector 74">
          <a:extLst>
            <a:ext uri="{FF2B5EF4-FFF2-40B4-BE49-F238E27FC236}">
              <a16:creationId xmlns:a16="http://schemas.microsoft.com/office/drawing/2014/main" id="{CABD26F6-9E10-4CF0-8A5C-278A54101270}"/>
            </a:ext>
            <a:ext uri="{147F2762-F138-4A5C-976F-8EAC2B608ADB}">
              <a16:predDERef xmlns:a16="http://schemas.microsoft.com/office/drawing/2014/main" pred="{419759A1-7C99-465E-A067-9EB07A8FA6AB}"/>
            </a:ext>
          </a:extLst>
        </xdr:cNvPr>
        <xdr:cNvCxnSpPr>
          <a:cxnSpLocks/>
        </xdr:cNvCxnSpPr>
      </xdr:nvCxnSpPr>
      <xdr:spPr>
        <a:xfrm flipV="1">
          <a:off x="9610725" y="3486150"/>
          <a:ext cx="600075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</xdr:colOff>
      <xdr:row>20</xdr:row>
      <xdr:rowOff>85725</xdr:rowOff>
    </xdr:from>
    <xdr:to>
      <xdr:col>43</xdr:col>
      <xdr:colOff>600075</xdr:colOff>
      <xdr:row>20</xdr:row>
      <xdr:rowOff>95250</xdr:rowOff>
    </xdr:to>
    <xdr:cxnSp macro="">
      <xdr:nvCxnSpPr>
        <xdr:cNvPr id="33" name="Straight Connector 91">
          <a:extLst>
            <a:ext uri="{FF2B5EF4-FFF2-40B4-BE49-F238E27FC236}">
              <a16:creationId xmlns:a16="http://schemas.microsoft.com/office/drawing/2014/main" id="{D2C9CC2D-EC01-4086-9956-B1CC761D7E0C}"/>
            </a:ext>
            <a:ext uri="{147F2762-F138-4A5C-976F-8EAC2B608ADB}">
              <a16:predDERef xmlns:a16="http://schemas.microsoft.com/office/drawing/2014/main" pred="{CABD26F6-9E10-4CF0-8A5C-278A54101270}"/>
            </a:ext>
          </a:extLst>
        </xdr:cNvPr>
        <xdr:cNvCxnSpPr>
          <a:cxnSpLocks/>
        </xdr:cNvCxnSpPr>
      </xdr:nvCxnSpPr>
      <xdr:spPr>
        <a:xfrm>
          <a:off x="29708475" y="3895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12</xdr:row>
      <xdr:rowOff>85725</xdr:rowOff>
    </xdr:from>
    <xdr:to>
      <xdr:col>27</xdr:col>
      <xdr:colOff>590550</xdr:colOff>
      <xdr:row>18</xdr:row>
      <xdr:rowOff>104775</xdr:rowOff>
    </xdr:to>
    <xdr:cxnSp macro="">
      <xdr:nvCxnSpPr>
        <xdr:cNvPr id="34" name="Straight Connector 92">
          <a:extLst>
            <a:ext uri="{FF2B5EF4-FFF2-40B4-BE49-F238E27FC236}">
              <a16:creationId xmlns:a16="http://schemas.microsoft.com/office/drawing/2014/main" id="{C0D2A78C-7AFE-4F62-A290-FC11EE0BD7D6}"/>
            </a:ext>
            <a:ext uri="{147F2762-F138-4A5C-976F-8EAC2B608ADB}">
              <a16:predDERef xmlns:a16="http://schemas.microsoft.com/office/drawing/2014/main" pred="{D2C9CC2D-EC01-4086-9956-B1CC761D7E0C}"/>
            </a:ext>
          </a:extLst>
        </xdr:cNvPr>
        <xdr:cNvCxnSpPr>
          <a:cxnSpLocks/>
        </xdr:cNvCxnSpPr>
      </xdr:nvCxnSpPr>
      <xdr:spPr>
        <a:xfrm>
          <a:off x="15001875" y="2371725"/>
          <a:ext cx="3438525" cy="1162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20</xdr:row>
      <xdr:rowOff>95250</xdr:rowOff>
    </xdr:from>
    <xdr:to>
      <xdr:col>40</xdr:col>
      <xdr:colOff>0</xdr:colOff>
      <xdr:row>20</xdr:row>
      <xdr:rowOff>123825</xdr:rowOff>
    </xdr:to>
    <xdr:cxnSp macro="">
      <xdr:nvCxnSpPr>
        <xdr:cNvPr id="35" name="Straight Connector 93">
          <a:extLst>
            <a:ext uri="{FF2B5EF4-FFF2-40B4-BE49-F238E27FC236}">
              <a16:creationId xmlns:a16="http://schemas.microsoft.com/office/drawing/2014/main" id="{EBA27AF7-E90D-44AF-8F1A-C07C292C35BE}"/>
            </a:ext>
            <a:ext uri="{147F2762-F138-4A5C-976F-8EAC2B608ADB}">
              <a16:predDERef xmlns:a16="http://schemas.microsoft.com/office/drawing/2014/main" pred="{C0D2A78C-7AFE-4F62-A290-FC11EE0BD7D6}"/>
            </a:ext>
          </a:extLst>
        </xdr:cNvPr>
        <xdr:cNvCxnSpPr>
          <a:cxnSpLocks/>
        </xdr:cNvCxnSpPr>
      </xdr:nvCxnSpPr>
      <xdr:spPr>
        <a:xfrm flipV="1">
          <a:off x="27041475" y="3905250"/>
          <a:ext cx="609600" cy="285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</xdr:colOff>
      <xdr:row>18</xdr:row>
      <xdr:rowOff>85725</xdr:rowOff>
    </xdr:from>
    <xdr:to>
      <xdr:col>60</xdr:col>
      <xdr:colOff>0</xdr:colOff>
      <xdr:row>18</xdr:row>
      <xdr:rowOff>95250</xdr:rowOff>
    </xdr:to>
    <xdr:cxnSp macro="">
      <xdr:nvCxnSpPr>
        <xdr:cNvPr id="39" name="Straight Connector 63">
          <a:extLst>
            <a:ext uri="{FF2B5EF4-FFF2-40B4-BE49-F238E27FC236}">
              <a16:creationId xmlns:a16="http://schemas.microsoft.com/office/drawing/2014/main" id="{43799D83-D652-4564-8839-432766748A7D}"/>
            </a:ext>
            <a:ext uri="{147F2762-F138-4A5C-976F-8EAC2B608ADB}">
              <a16:predDERef xmlns:a16="http://schemas.microsoft.com/office/drawing/2014/main" pred="{EBA27AF7-E90D-44AF-8F1A-C07C292C35BE}"/>
            </a:ext>
          </a:extLst>
        </xdr:cNvPr>
        <xdr:cNvCxnSpPr>
          <a:cxnSpLocks/>
        </xdr:cNvCxnSpPr>
      </xdr:nvCxnSpPr>
      <xdr:spPr>
        <a:xfrm>
          <a:off x="28346400" y="3514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19050</xdr:colOff>
      <xdr:row>18</xdr:row>
      <xdr:rowOff>95250</xdr:rowOff>
    </xdr:from>
    <xdr:to>
      <xdr:col>64</xdr:col>
      <xdr:colOff>0</xdr:colOff>
      <xdr:row>18</xdr:row>
      <xdr:rowOff>104775</xdr:rowOff>
    </xdr:to>
    <xdr:cxnSp macro="">
      <xdr:nvCxnSpPr>
        <xdr:cNvPr id="40" name="Straight Connector 64">
          <a:extLst>
            <a:ext uri="{FF2B5EF4-FFF2-40B4-BE49-F238E27FC236}">
              <a16:creationId xmlns:a16="http://schemas.microsoft.com/office/drawing/2014/main" id="{60EAEF67-406D-4DB8-A1ED-96B106B58B46}"/>
            </a:ext>
            <a:ext uri="{147F2762-F138-4A5C-976F-8EAC2B608ADB}">
              <a16:predDERef xmlns:a16="http://schemas.microsoft.com/office/drawing/2014/main" pred="{43799D83-D652-4564-8839-432766748A7D}"/>
            </a:ext>
          </a:extLst>
        </xdr:cNvPr>
        <xdr:cNvCxnSpPr>
          <a:cxnSpLocks/>
        </xdr:cNvCxnSpPr>
      </xdr:nvCxnSpPr>
      <xdr:spPr>
        <a:xfrm>
          <a:off x="30784800" y="3524250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0</xdr:colOff>
      <xdr:row>18</xdr:row>
      <xdr:rowOff>85725</xdr:rowOff>
    </xdr:from>
    <xdr:to>
      <xdr:col>67</xdr:col>
      <xdr:colOff>590550</xdr:colOff>
      <xdr:row>18</xdr:row>
      <xdr:rowOff>95250</xdr:rowOff>
    </xdr:to>
    <xdr:cxnSp macro="">
      <xdr:nvCxnSpPr>
        <xdr:cNvPr id="41" name="Straight Connector 65">
          <a:extLst>
            <a:ext uri="{FF2B5EF4-FFF2-40B4-BE49-F238E27FC236}">
              <a16:creationId xmlns:a16="http://schemas.microsoft.com/office/drawing/2014/main" id="{9D816D98-6A66-4A56-9A83-8A755BEFC1BA}"/>
            </a:ext>
            <a:ext uri="{147F2762-F138-4A5C-976F-8EAC2B608ADB}">
              <a16:predDERef xmlns:a16="http://schemas.microsoft.com/office/drawing/2014/main" pred="{60EAEF67-406D-4DB8-A1ED-96B106B58B46}"/>
            </a:ext>
          </a:extLst>
        </xdr:cNvPr>
        <xdr:cNvCxnSpPr>
          <a:cxnSpLocks/>
        </xdr:cNvCxnSpPr>
      </xdr:nvCxnSpPr>
      <xdr:spPr>
        <a:xfrm>
          <a:off x="33327975" y="3514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95250</xdr:rowOff>
    </xdr:from>
    <xdr:to>
      <xdr:col>20</xdr:col>
      <xdr:colOff>0</xdr:colOff>
      <xdr:row>18</xdr:row>
      <xdr:rowOff>123825</xdr:rowOff>
    </xdr:to>
    <xdr:cxnSp macro="">
      <xdr:nvCxnSpPr>
        <xdr:cNvPr id="44" name="Straight Connector 70">
          <a:extLst>
            <a:ext uri="{FF2B5EF4-FFF2-40B4-BE49-F238E27FC236}">
              <a16:creationId xmlns:a16="http://schemas.microsoft.com/office/drawing/2014/main" id="{4E2BB103-96D9-46F0-BF67-09CF12BA459A}"/>
            </a:ext>
            <a:ext uri="{147F2762-F138-4A5C-976F-8EAC2B608ADB}">
              <a16:predDERef xmlns:a16="http://schemas.microsoft.com/office/drawing/2014/main" pred="{9D816D98-6A66-4A56-9A83-8A755BEFC1BA}"/>
            </a:ext>
          </a:extLst>
        </xdr:cNvPr>
        <xdr:cNvCxnSpPr>
          <a:cxnSpLocks/>
        </xdr:cNvCxnSpPr>
      </xdr:nvCxnSpPr>
      <xdr:spPr>
        <a:xfrm flipV="1">
          <a:off x="12296775" y="2381250"/>
          <a:ext cx="609600" cy="11715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76200</xdr:rowOff>
    </xdr:from>
    <xdr:to>
      <xdr:col>19</xdr:col>
      <xdr:colOff>590550</xdr:colOff>
      <xdr:row>18</xdr:row>
      <xdr:rowOff>114300</xdr:rowOff>
    </xdr:to>
    <xdr:cxnSp macro="">
      <xdr:nvCxnSpPr>
        <xdr:cNvPr id="45" name="Straight Connector 71">
          <a:extLst>
            <a:ext uri="{FF2B5EF4-FFF2-40B4-BE49-F238E27FC236}">
              <a16:creationId xmlns:a16="http://schemas.microsoft.com/office/drawing/2014/main" id="{0F577E58-1548-4533-9063-49F65273B014}"/>
            </a:ext>
            <a:ext uri="{147F2762-F138-4A5C-976F-8EAC2B608ADB}">
              <a16:predDERef xmlns:a16="http://schemas.microsoft.com/office/drawing/2014/main" pred="{4E2BB103-96D9-46F0-BF67-09CF12BA459A}"/>
            </a:ext>
          </a:extLst>
        </xdr:cNvPr>
        <xdr:cNvCxnSpPr>
          <a:cxnSpLocks/>
        </xdr:cNvCxnSpPr>
      </xdr:nvCxnSpPr>
      <xdr:spPr>
        <a:xfrm flipV="1">
          <a:off x="12296775" y="3124200"/>
          <a:ext cx="590550" cy="4191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1057275</xdr:colOff>
      <xdr:row>18</xdr:row>
      <xdr:rowOff>123825</xdr:rowOff>
    </xdr:from>
    <xdr:to>
      <xdr:col>19</xdr:col>
      <xdr:colOff>581025</xdr:colOff>
      <xdr:row>24</xdr:row>
      <xdr:rowOff>104775</xdr:rowOff>
    </xdr:to>
    <xdr:cxnSp macro="">
      <xdr:nvCxnSpPr>
        <xdr:cNvPr id="46" name="Straight Connector 72">
          <a:extLst>
            <a:ext uri="{FF2B5EF4-FFF2-40B4-BE49-F238E27FC236}">
              <a16:creationId xmlns:a16="http://schemas.microsoft.com/office/drawing/2014/main" id="{D1C81E0F-6AA4-44EF-A0E4-53B1182346F1}"/>
            </a:ext>
            <a:ext uri="{147F2762-F138-4A5C-976F-8EAC2B608ADB}">
              <a16:predDERef xmlns:a16="http://schemas.microsoft.com/office/drawing/2014/main" pred="{0F577E58-1548-4533-9063-49F65273B014}"/>
            </a:ext>
          </a:extLst>
        </xdr:cNvPr>
        <xdr:cNvCxnSpPr>
          <a:cxnSpLocks/>
        </xdr:cNvCxnSpPr>
      </xdr:nvCxnSpPr>
      <xdr:spPr>
        <a:xfrm>
          <a:off x="12287250" y="3552825"/>
          <a:ext cx="590550" cy="11239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20</xdr:row>
      <xdr:rowOff>104775</xdr:rowOff>
    </xdr:from>
    <xdr:to>
      <xdr:col>24</xdr:col>
      <xdr:colOff>19050</xdr:colOff>
      <xdr:row>24</xdr:row>
      <xdr:rowOff>95250</xdr:rowOff>
    </xdr:to>
    <xdr:cxnSp macro="">
      <xdr:nvCxnSpPr>
        <xdr:cNvPr id="47" name="Straight Connector 73">
          <a:extLst>
            <a:ext uri="{FF2B5EF4-FFF2-40B4-BE49-F238E27FC236}">
              <a16:creationId xmlns:a16="http://schemas.microsoft.com/office/drawing/2014/main" id="{D3A781A0-9A12-4118-A5CF-09CA1EA3D546}"/>
            </a:ext>
            <a:ext uri="{147F2762-F138-4A5C-976F-8EAC2B608ADB}">
              <a16:predDERef xmlns:a16="http://schemas.microsoft.com/office/drawing/2014/main" pred="{D1C81E0F-6AA4-44EF-A0E4-53B1182346F1}"/>
            </a:ext>
          </a:extLst>
        </xdr:cNvPr>
        <xdr:cNvCxnSpPr>
          <a:cxnSpLocks/>
        </xdr:cNvCxnSpPr>
      </xdr:nvCxnSpPr>
      <xdr:spPr>
        <a:xfrm>
          <a:off x="15001875" y="3914775"/>
          <a:ext cx="619125" cy="7524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16</xdr:row>
      <xdr:rowOff>57150</xdr:rowOff>
    </xdr:from>
    <xdr:to>
      <xdr:col>23</xdr:col>
      <xdr:colOff>600075</xdr:colOff>
      <xdr:row>19</xdr:row>
      <xdr:rowOff>104775</xdr:rowOff>
    </xdr:to>
    <xdr:cxnSp macro="">
      <xdr:nvCxnSpPr>
        <xdr:cNvPr id="48" name="Straight Connector 74">
          <a:extLst>
            <a:ext uri="{FF2B5EF4-FFF2-40B4-BE49-F238E27FC236}">
              <a16:creationId xmlns:a16="http://schemas.microsoft.com/office/drawing/2014/main" id="{2217B63E-66D2-465C-9645-2112118950C4}"/>
            </a:ext>
            <a:ext uri="{147F2762-F138-4A5C-976F-8EAC2B608ADB}">
              <a16:predDERef xmlns:a16="http://schemas.microsoft.com/office/drawing/2014/main" pred="{D3A781A0-9A12-4118-A5CF-09CA1EA3D546}"/>
            </a:ext>
          </a:extLst>
        </xdr:cNvPr>
        <xdr:cNvCxnSpPr>
          <a:cxnSpLocks/>
        </xdr:cNvCxnSpPr>
      </xdr:nvCxnSpPr>
      <xdr:spPr>
        <a:xfrm>
          <a:off x="14992350" y="3105150"/>
          <a:ext cx="600075" cy="6191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1085850</xdr:colOff>
      <xdr:row>24</xdr:row>
      <xdr:rowOff>38100</xdr:rowOff>
    </xdr:from>
    <xdr:to>
      <xdr:col>24</xdr:col>
      <xdr:colOff>0</xdr:colOff>
      <xdr:row>24</xdr:row>
      <xdr:rowOff>66675</xdr:rowOff>
    </xdr:to>
    <xdr:cxnSp macro="">
      <xdr:nvCxnSpPr>
        <xdr:cNvPr id="49" name="Straight Connector 75">
          <a:extLst>
            <a:ext uri="{FF2B5EF4-FFF2-40B4-BE49-F238E27FC236}">
              <a16:creationId xmlns:a16="http://schemas.microsoft.com/office/drawing/2014/main" id="{3D58F7FC-AE13-45AF-89B6-F04FEED8BD21}"/>
            </a:ext>
            <a:ext uri="{147F2762-F138-4A5C-976F-8EAC2B608ADB}">
              <a16:predDERef xmlns:a16="http://schemas.microsoft.com/office/drawing/2014/main" pred="{2217B63E-66D2-465C-9645-2112118950C4}"/>
            </a:ext>
          </a:extLst>
        </xdr:cNvPr>
        <xdr:cNvCxnSpPr>
          <a:cxnSpLocks/>
        </xdr:cNvCxnSpPr>
      </xdr:nvCxnSpPr>
      <xdr:spPr>
        <a:xfrm>
          <a:off x="14973300" y="4610100"/>
          <a:ext cx="628650" cy="285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18</xdr:row>
      <xdr:rowOff>95250</xdr:rowOff>
    </xdr:from>
    <xdr:to>
      <xdr:col>28</xdr:col>
      <xdr:colOff>0</xdr:colOff>
      <xdr:row>19</xdr:row>
      <xdr:rowOff>57150</xdr:rowOff>
    </xdr:to>
    <xdr:cxnSp macro="">
      <xdr:nvCxnSpPr>
        <xdr:cNvPr id="50" name="Straight Connector 76">
          <a:extLst>
            <a:ext uri="{FF2B5EF4-FFF2-40B4-BE49-F238E27FC236}">
              <a16:creationId xmlns:a16="http://schemas.microsoft.com/office/drawing/2014/main" id="{8FE1CCF4-A3F6-423F-B850-3512D99A408F}"/>
            </a:ext>
            <a:ext uri="{147F2762-F138-4A5C-976F-8EAC2B608ADB}">
              <a16:predDERef xmlns:a16="http://schemas.microsoft.com/office/drawing/2014/main" pred="{3D58F7FC-AE13-45AF-89B6-F04FEED8BD21}"/>
            </a:ext>
          </a:extLst>
        </xdr:cNvPr>
        <xdr:cNvCxnSpPr>
          <a:cxnSpLocks/>
        </xdr:cNvCxnSpPr>
      </xdr:nvCxnSpPr>
      <xdr:spPr>
        <a:xfrm flipV="1">
          <a:off x="17849850" y="3524250"/>
          <a:ext cx="609600" cy="152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1219200</xdr:colOff>
      <xdr:row>16</xdr:row>
      <xdr:rowOff>76200</xdr:rowOff>
    </xdr:from>
    <xdr:to>
      <xdr:col>35</xdr:col>
      <xdr:colOff>571500</xdr:colOff>
      <xdr:row>18</xdr:row>
      <xdr:rowOff>123825</xdr:rowOff>
    </xdr:to>
    <xdr:cxnSp macro="">
      <xdr:nvCxnSpPr>
        <xdr:cNvPr id="51" name="Straight Connector 77">
          <a:extLst>
            <a:ext uri="{FF2B5EF4-FFF2-40B4-BE49-F238E27FC236}">
              <a16:creationId xmlns:a16="http://schemas.microsoft.com/office/drawing/2014/main" id="{E52897C3-055B-4B39-A819-76188DC3C547}"/>
            </a:ext>
            <a:ext uri="{147F2762-F138-4A5C-976F-8EAC2B608ADB}">
              <a16:predDERef xmlns:a16="http://schemas.microsoft.com/office/drawing/2014/main" pred="{8FE1CCF4-A3F6-423F-B850-3512D99A408F}"/>
            </a:ext>
          </a:extLst>
        </xdr:cNvPr>
        <xdr:cNvCxnSpPr>
          <a:cxnSpLocks/>
        </xdr:cNvCxnSpPr>
      </xdr:nvCxnSpPr>
      <xdr:spPr>
        <a:xfrm flipV="1">
          <a:off x="23764875" y="3124200"/>
          <a:ext cx="590550" cy="4286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1228725</xdr:colOff>
      <xdr:row>18</xdr:row>
      <xdr:rowOff>133350</xdr:rowOff>
    </xdr:from>
    <xdr:to>
      <xdr:col>35</xdr:col>
      <xdr:colOff>600075</xdr:colOff>
      <xdr:row>20</xdr:row>
      <xdr:rowOff>85725</xdr:rowOff>
    </xdr:to>
    <xdr:cxnSp macro="">
      <xdr:nvCxnSpPr>
        <xdr:cNvPr id="52" name="Straight Connector 78">
          <a:extLst>
            <a:ext uri="{FF2B5EF4-FFF2-40B4-BE49-F238E27FC236}">
              <a16:creationId xmlns:a16="http://schemas.microsoft.com/office/drawing/2014/main" id="{FD392FCE-E35D-4AF0-8CF6-21BB513C3975}"/>
            </a:ext>
            <a:ext uri="{147F2762-F138-4A5C-976F-8EAC2B608ADB}">
              <a16:predDERef xmlns:a16="http://schemas.microsoft.com/office/drawing/2014/main" pred="{E52897C3-055B-4B39-A819-76188DC3C547}"/>
            </a:ext>
          </a:extLst>
        </xdr:cNvPr>
        <xdr:cNvCxnSpPr>
          <a:cxnSpLocks/>
        </xdr:cNvCxnSpPr>
      </xdr:nvCxnSpPr>
      <xdr:spPr>
        <a:xfrm>
          <a:off x="23774400" y="3562350"/>
          <a:ext cx="609600" cy="3333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952500</xdr:colOff>
      <xdr:row>16</xdr:row>
      <xdr:rowOff>123825</xdr:rowOff>
    </xdr:from>
    <xdr:to>
      <xdr:col>47</xdr:col>
      <xdr:colOff>600075</xdr:colOff>
      <xdr:row>18</xdr:row>
      <xdr:rowOff>114300</xdr:rowOff>
    </xdr:to>
    <xdr:cxnSp macro="">
      <xdr:nvCxnSpPr>
        <xdr:cNvPr id="53" name="Straight Connector 79">
          <a:extLst>
            <a:ext uri="{FF2B5EF4-FFF2-40B4-BE49-F238E27FC236}">
              <a16:creationId xmlns:a16="http://schemas.microsoft.com/office/drawing/2014/main" id="{071D7E30-0564-4335-8F9D-5880FB00E3AB}"/>
            </a:ext>
            <a:ext uri="{147F2762-F138-4A5C-976F-8EAC2B608ADB}">
              <a16:predDERef xmlns:a16="http://schemas.microsoft.com/office/drawing/2014/main" pred="{FD392FCE-E35D-4AF0-8CF6-21BB513C3975}"/>
            </a:ext>
          </a:extLst>
        </xdr:cNvPr>
        <xdr:cNvCxnSpPr>
          <a:cxnSpLocks/>
        </xdr:cNvCxnSpPr>
      </xdr:nvCxnSpPr>
      <xdr:spPr>
        <a:xfrm>
          <a:off x="27031950" y="3171825"/>
          <a:ext cx="5724525" cy="3714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28575</xdr:colOff>
      <xdr:row>13</xdr:row>
      <xdr:rowOff>66675</xdr:rowOff>
    </xdr:from>
    <xdr:to>
      <xdr:col>52</xdr:col>
      <xdr:colOff>9525</xdr:colOff>
      <xdr:row>18</xdr:row>
      <xdr:rowOff>57150</xdr:rowOff>
    </xdr:to>
    <xdr:cxnSp macro="">
      <xdr:nvCxnSpPr>
        <xdr:cNvPr id="62" name="Straight Connector 88">
          <a:extLst>
            <a:ext uri="{FF2B5EF4-FFF2-40B4-BE49-F238E27FC236}">
              <a16:creationId xmlns:a16="http://schemas.microsoft.com/office/drawing/2014/main" id="{DC2685CA-5626-44DF-A463-0114A0766BD7}"/>
            </a:ext>
            <a:ext uri="{147F2762-F138-4A5C-976F-8EAC2B608ADB}">
              <a16:predDERef xmlns:a16="http://schemas.microsoft.com/office/drawing/2014/main" pred="{0E83F41E-AA8A-417C-85A2-F2F0EB4B48C5}"/>
            </a:ext>
          </a:extLst>
        </xdr:cNvPr>
        <xdr:cNvCxnSpPr>
          <a:cxnSpLocks/>
        </xdr:cNvCxnSpPr>
      </xdr:nvCxnSpPr>
      <xdr:spPr>
        <a:xfrm flipV="1">
          <a:off x="23393400" y="2543175"/>
          <a:ext cx="590550" cy="942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17</xdr:row>
      <xdr:rowOff>114300</xdr:rowOff>
    </xdr:from>
    <xdr:to>
      <xdr:col>52</xdr:col>
      <xdr:colOff>19050</xdr:colOff>
      <xdr:row>18</xdr:row>
      <xdr:rowOff>85725</xdr:rowOff>
    </xdr:to>
    <xdr:cxnSp macro="">
      <xdr:nvCxnSpPr>
        <xdr:cNvPr id="63" name="Straight Connector 89">
          <a:extLst>
            <a:ext uri="{FF2B5EF4-FFF2-40B4-BE49-F238E27FC236}">
              <a16:creationId xmlns:a16="http://schemas.microsoft.com/office/drawing/2014/main" id="{4E30BC70-CA25-49D0-B191-5612A5D918FA}"/>
            </a:ext>
            <a:ext uri="{147F2762-F138-4A5C-976F-8EAC2B608ADB}">
              <a16:predDERef xmlns:a16="http://schemas.microsoft.com/office/drawing/2014/main" pred="{DC2685CA-5626-44DF-A463-0114A0766BD7}"/>
            </a:ext>
          </a:extLst>
        </xdr:cNvPr>
        <xdr:cNvCxnSpPr>
          <a:cxnSpLocks/>
        </xdr:cNvCxnSpPr>
      </xdr:nvCxnSpPr>
      <xdr:spPr>
        <a:xfrm flipV="1">
          <a:off x="23364825" y="3352800"/>
          <a:ext cx="628650" cy="1619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18</xdr:row>
      <xdr:rowOff>57150</xdr:rowOff>
    </xdr:from>
    <xdr:to>
      <xdr:col>51</xdr:col>
      <xdr:colOff>561975</xdr:colOff>
      <xdr:row>21</xdr:row>
      <xdr:rowOff>76200</xdr:rowOff>
    </xdr:to>
    <xdr:cxnSp macro="">
      <xdr:nvCxnSpPr>
        <xdr:cNvPr id="64" name="Straight Connector 90">
          <a:extLst>
            <a:ext uri="{FF2B5EF4-FFF2-40B4-BE49-F238E27FC236}">
              <a16:creationId xmlns:a16="http://schemas.microsoft.com/office/drawing/2014/main" id="{4FE7F667-B019-4433-8B5D-A18A6E533B81}"/>
            </a:ext>
            <a:ext uri="{147F2762-F138-4A5C-976F-8EAC2B608ADB}">
              <a16:predDERef xmlns:a16="http://schemas.microsoft.com/office/drawing/2014/main" pred="{4E30BC70-CA25-49D0-B191-5612A5D918FA}"/>
            </a:ext>
          </a:extLst>
        </xdr:cNvPr>
        <xdr:cNvCxnSpPr>
          <a:cxnSpLocks/>
        </xdr:cNvCxnSpPr>
      </xdr:nvCxnSpPr>
      <xdr:spPr>
        <a:xfrm>
          <a:off x="23364825" y="3486150"/>
          <a:ext cx="561975" cy="5905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</xdr:colOff>
      <xdr:row>17</xdr:row>
      <xdr:rowOff>104775</xdr:rowOff>
    </xdr:from>
    <xdr:to>
      <xdr:col>55</xdr:col>
      <xdr:colOff>590550</xdr:colOff>
      <xdr:row>18</xdr:row>
      <xdr:rowOff>95250</xdr:rowOff>
    </xdr:to>
    <xdr:cxnSp macro="">
      <xdr:nvCxnSpPr>
        <xdr:cNvPr id="7" name="Straight Connector 92">
          <a:extLst>
            <a:ext uri="{FF2B5EF4-FFF2-40B4-BE49-F238E27FC236}">
              <a16:creationId xmlns:a16="http://schemas.microsoft.com/office/drawing/2014/main" id="{2B0B1D2E-5032-4BD8-9AC2-59E149BFF14C}"/>
            </a:ext>
            <a:ext uri="{147F2762-F138-4A5C-976F-8EAC2B608ADB}">
              <a16:predDERef xmlns:a16="http://schemas.microsoft.com/office/drawing/2014/main" pred="{4FE7F667-B019-4433-8B5D-A18A6E533B81}"/>
            </a:ext>
          </a:extLst>
        </xdr:cNvPr>
        <xdr:cNvCxnSpPr>
          <a:cxnSpLocks/>
        </xdr:cNvCxnSpPr>
      </xdr:nvCxnSpPr>
      <xdr:spPr>
        <a:xfrm>
          <a:off x="37004625" y="3343275"/>
          <a:ext cx="571500" cy="180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18</xdr:row>
      <xdr:rowOff>95250</xdr:rowOff>
    </xdr:from>
    <xdr:to>
      <xdr:col>55</xdr:col>
      <xdr:colOff>600075</xdr:colOff>
      <xdr:row>21</xdr:row>
      <xdr:rowOff>85725</xdr:rowOff>
    </xdr:to>
    <xdr:cxnSp macro="">
      <xdr:nvCxnSpPr>
        <xdr:cNvPr id="9" name="Straight Connector 93">
          <a:extLst>
            <a:ext uri="{FF2B5EF4-FFF2-40B4-BE49-F238E27FC236}">
              <a16:creationId xmlns:a16="http://schemas.microsoft.com/office/drawing/2014/main" id="{E9436C1D-C8BD-48F6-81FA-C244D7948D39}"/>
            </a:ext>
            <a:ext uri="{147F2762-F138-4A5C-976F-8EAC2B608ADB}">
              <a16:predDERef xmlns:a16="http://schemas.microsoft.com/office/drawing/2014/main" pred="{2B0B1D2E-5032-4BD8-9AC2-59E149BFF14C}"/>
            </a:ext>
          </a:extLst>
        </xdr:cNvPr>
        <xdr:cNvCxnSpPr>
          <a:cxnSpLocks/>
        </xdr:cNvCxnSpPr>
      </xdr:nvCxnSpPr>
      <xdr:spPr>
        <a:xfrm flipV="1">
          <a:off x="36985575" y="3524250"/>
          <a:ext cx="600075" cy="561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1057275</xdr:colOff>
      <xdr:row>18</xdr:row>
      <xdr:rowOff>133350</xdr:rowOff>
    </xdr:from>
    <xdr:to>
      <xdr:col>19</xdr:col>
      <xdr:colOff>590550</xdr:colOff>
      <xdr:row>20</xdr:row>
      <xdr:rowOff>85725</xdr:rowOff>
    </xdr:to>
    <xdr:cxnSp macro="">
      <xdr:nvCxnSpPr>
        <xdr:cNvPr id="68" name="Straight Connector 1">
          <a:extLst>
            <a:ext uri="{FF2B5EF4-FFF2-40B4-BE49-F238E27FC236}">
              <a16:creationId xmlns:a16="http://schemas.microsoft.com/office/drawing/2014/main" id="{DF325401-E77D-45FB-AD3F-EB06F885AA68}"/>
            </a:ext>
            <a:ext uri="{147F2762-F138-4A5C-976F-8EAC2B608ADB}">
              <a16:predDERef xmlns:a16="http://schemas.microsoft.com/office/drawing/2014/main" pred="{E9436C1D-C8BD-48F6-81FA-C244D7948D39}"/>
            </a:ext>
          </a:extLst>
        </xdr:cNvPr>
        <xdr:cNvCxnSpPr>
          <a:cxnSpLocks/>
        </xdr:cNvCxnSpPr>
      </xdr:nvCxnSpPr>
      <xdr:spPr>
        <a:xfrm>
          <a:off x="12287250" y="3562350"/>
          <a:ext cx="600075" cy="3333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18</xdr:row>
      <xdr:rowOff>114300</xdr:rowOff>
    </xdr:from>
    <xdr:to>
      <xdr:col>27</xdr:col>
      <xdr:colOff>571500</xdr:colOff>
      <xdr:row>24</xdr:row>
      <xdr:rowOff>85725</xdr:rowOff>
    </xdr:to>
    <xdr:cxnSp macro="">
      <xdr:nvCxnSpPr>
        <xdr:cNvPr id="69" name="Straight Connector 2">
          <a:extLst>
            <a:ext uri="{FF2B5EF4-FFF2-40B4-BE49-F238E27FC236}">
              <a16:creationId xmlns:a16="http://schemas.microsoft.com/office/drawing/2014/main" id="{7FD53C55-90D1-48D0-9C40-C04FBD5A16B0}"/>
            </a:ext>
            <a:ext uri="{147F2762-F138-4A5C-976F-8EAC2B608ADB}">
              <a16:predDERef xmlns:a16="http://schemas.microsoft.com/office/drawing/2014/main" pred="{DF325401-E77D-45FB-AD3F-EB06F885AA68}"/>
            </a:ext>
          </a:extLst>
        </xdr:cNvPr>
        <xdr:cNvCxnSpPr>
          <a:cxnSpLocks/>
        </xdr:cNvCxnSpPr>
      </xdr:nvCxnSpPr>
      <xdr:spPr>
        <a:xfrm flipV="1">
          <a:off x="17849850" y="3543300"/>
          <a:ext cx="571500" cy="11144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771525</xdr:colOff>
      <xdr:row>13</xdr:row>
      <xdr:rowOff>114300</xdr:rowOff>
    </xdr:from>
    <xdr:to>
      <xdr:col>56</xdr:col>
      <xdr:colOff>9525</xdr:colOff>
      <xdr:row>18</xdr:row>
      <xdr:rowOff>114300</xdr:rowOff>
    </xdr:to>
    <xdr:cxnSp macro="">
      <xdr:nvCxnSpPr>
        <xdr:cNvPr id="4" name="Straight Connector 69">
          <a:extLst>
            <a:ext uri="{FF2B5EF4-FFF2-40B4-BE49-F238E27FC236}">
              <a16:creationId xmlns:a16="http://schemas.microsoft.com/office/drawing/2014/main" id="{B3D6696C-29C3-4419-A68A-ED73315E5FA5}"/>
            </a:ext>
            <a:ext uri="{147F2762-F138-4A5C-976F-8EAC2B608ADB}">
              <a16:predDERef xmlns:a16="http://schemas.microsoft.com/office/drawing/2014/main" pred="{7FD53C55-90D1-48D0-9C40-C04FBD5A16B0}"/>
            </a:ext>
          </a:extLst>
        </xdr:cNvPr>
        <xdr:cNvCxnSpPr>
          <a:cxnSpLocks/>
        </xdr:cNvCxnSpPr>
      </xdr:nvCxnSpPr>
      <xdr:spPr>
        <a:xfrm>
          <a:off x="36976050" y="2590800"/>
          <a:ext cx="628650" cy="9525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1038225</xdr:colOff>
      <xdr:row>43</xdr:row>
      <xdr:rowOff>76200</xdr:rowOff>
    </xdr:from>
    <xdr:to>
      <xdr:col>4</xdr:col>
      <xdr:colOff>9525</xdr:colOff>
      <xdr:row>43</xdr:row>
      <xdr:rowOff>85725</xdr:rowOff>
    </xdr:to>
    <xdr:cxnSp macro="">
      <xdr:nvCxnSpPr>
        <xdr:cNvPr id="44" name="Straight Connector 61">
          <a:extLst>
            <a:ext uri="{FF2B5EF4-FFF2-40B4-BE49-F238E27FC236}">
              <a16:creationId xmlns:a16="http://schemas.microsoft.com/office/drawing/2014/main" id="{074DEF86-56B6-46A5-B249-E530B1703D70}"/>
            </a:ext>
            <a:ext uri="{147F2762-F138-4A5C-976F-8EAC2B608ADB}">
              <a16:predDERef xmlns:a16="http://schemas.microsoft.com/office/drawing/2014/main" pred="{430FD125-57E3-4E2C-9A01-6E6C2D08A71D}"/>
            </a:ext>
          </a:extLst>
        </xdr:cNvPr>
        <xdr:cNvCxnSpPr>
          <a:cxnSpLocks/>
        </xdr:cNvCxnSpPr>
      </xdr:nvCxnSpPr>
      <xdr:spPr>
        <a:xfrm>
          <a:off x="3457575" y="11544300"/>
          <a:ext cx="971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43</xdr:row>
      <xdr:rowOff>114300</xdr:rowOff>
    </xdr:from>
    <xdr:to>
      <xdr:col>31</xdr:col>
      <xdr:colOff>600075</xdr:colOff>
      <xdr:row>43</xdr:row>
      <xdr:rowOff>123825</xdr:rowOff>
    </xdr:to>
    <xdr:cxnSp macro="">
      <xdr:nvCxnSpPr>
        <xdr:cNvPr id="45" name="Straight Connector 63">
          <a:extLst>
            <a:ext uri="{FF2B5EF4-FFF2-40B4-BE49-F238E27FC236}">
              <a16:creationId xmlns:a16="http://schemas.microsoft.com/office/drawing/2014/main" id="{4932BA57-9735-4B41-8799-21D1FE22E9E8}"/>
            </a:ext>
            <a:ext uri="{147F2762-F138-4A5C-976F-8EAC2B608ADB}">
              <a16:predDERef xmlns:a16="http://schemas.microsoft.com/office/drawing/2014/main" pred="{074DEF86-56B6-46A5-B249-E530B1703D70}"/>
            </a:ext>
          </a:extLst>
        </xdr:cNvPr>
        <xdr:cNvCxnSpPr>
          <a:cxnSpLocks/>
        </xdr:cNvCxnSpPr>
      </xdr:nvCxnSpPr>
      <xdr:spPr>
        <a:xfrm>
          <a:off x="21402675" y="3543300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43</xdr:row>
      <xdr:rowOff>104775</xdr:rowOff>
    </xdr:from>
    <xdr:to>
      <xdr:col>48</xdr:col>
      <xdr:colOff>0</xdr:colOff>
      <xdr:row>45</xdr:row>
      <xdr:rowOff>76200</xdr:rowOff>
    </xdr:to>
    <xdr:cxnSp macro="">
      <xdr:nvCxnSpPr>
        <xdr:cNvPr id="46" name="Straight Connector 64">
          <a:extLst>
            <a:ext uri="{FF2B5EF4-FFF2-40B4-BE49-F238E27FC236}">
              <a16:creationId xmlns:a16="http://schemas.microsoft.com/office/drawing/2014/main" id="{BB931CDF-8482-46B7-95B1-0286DBAC544E}"/>
            </a:ext>
            <a:ext uri="{147F2762-F138-4A5C-976F-8EAC2B608ADB}">
              <a16:predDERef xmlns:a16="http://schemas.microsoft.com/office/drawing/2014/main" pred="{4932BA57-9735-4B41-8799-21D1FE22E9E8}"/>
            </a:ext>
          </a:extLst>
        </xdr:cNvPr>
        <xdr:cNvCxnSpPr>
          <a:cxnSpLocks/>
        </xdr:cNvCxnSpPr>
      </xdr:nvCxnSpPr>
      <xdr:spPr>
        <a:xfrm flipV="1">
          <a:off x="32851725" y="3533775"/>
          <a:ext cx="590550" cy="3524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43</xdr:row>
      <xdr:rowOff>95250</xdr:rowOff>
    </xdr:from>
    <xdr:to>
      <xdr:col>8</xdr:col>
      <xdr:colOff>0</xdr:colOff>
      <xdr:row>43</xdr:row>
      <xdr:rowOff>133350</xdr:rowOff>
    </xdr:to>
    <xdr:cxnSp macro="">
      <xdr:nvCxnSpPr>
        <xdr:cNvPr id="47" name="Straight Connector 66">
          <a:extLst>
            <a:ext uri="{FF2B5EF4-FFF2-40B4-BE49-F238E27FC236}">
              <a16:creationId xmlns:a16="http://schemas.microsoft.com/office/drawing/2014/main" id="{D3CEE9FD-4163-4528-A1ED-D221B6E3D143}"/>
            </a:ext>
            <a:ext uri="{147F2762-F138-4A5C-976F-8EAC2B608ADB}">
              <a16:predDERef xmlns:a16="http://schemas.microsoft.com/office/drawing/2014/main" pred="{BB931CDF-8482-46B7-95B1-0286DBAC544E}"/>
            </a:ext>
          </a:extLst>
        </xdr:cNvPr>
        <xdr:cNvCxnSpPr>
          <a:cxnSpLocks/>
        </xdr:cNvCxnSpPr>
      </xdr:nvCxnSpPr>
      <xdr:spPr>
        <a:xfrm flipV="1">
          <a:off x="8629650" y="11563350"/>
          <a:ext cx="971550" cy="381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1276350</xdr:colOff>
      <xdr:row>43</xdr:row>
      <xdr:rowOff>76200</xdr:rowOff>
    </xdr:from>
    <xdr:to>
      <xdr:col>11</xdr:col>
      <xdr:colOff>600075</xdr:colOff>
      <xdr:row>43</xdr:row>
      <xdr:rowOff>76200</xdr:rowOff>
    </xdr:to>
    <xdr:cxnSp macro="">
      <xdr:nvCxnSpPr>
        <xdr:cNvPr id="48" name="Straight Connector 68">
          <a:extLst>
            <a:ext uri="{FF2B5EF4-FFF2-40B4-BE49-F238E27FC236}">
              <a16:creationId xmlns:a16="http://schemas.microsoft.com/office/drawing/2014/main" id="{D4A8E0B8-CDB7-4C94-AFF3-40AA4C623BB2}"/>
            </a:ext>
            <a:ext uri="{147F2762-F138-4A5C-976F-8EAC2B608ADB}">
              <a16:predDERef xmlns:a16="http://schemas.microsoft.com/office/drawing/2014/main" pred="{D3CEE9FD-4163-4528-A1ED-D221B6E3D143}"/>
            </a:ext>
          </a:extLst>
        </xdr:cNvPr>
        <xdr:cNvCxnSpPr>
          <a:cxnSpLocks/>
        </xdr:cNvCxnSpPr>
      </xdr:nvCxnSpPr>
      <xdr:spPr>
        <a:xfrm>
          <a:off x="7753350" y="3505200"/>
          <a:ext cx="60960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43</xdr:row>
      <xdr:rowOff>57150</xdr:rowOff>
    </xdr:from>
    <xdr:to>
      <xdr:col>16</xdr:col>
      <xdr:colOff>0</xdr:colOff>
      <xdr:row>43</xdr:row>
      <xdr:rowOff>66675</xdr:rowOff>
    </xdr:to>
    <xdr:cxnSp macro="">
      <xdr:nvCxnSpPr>
        <xdr:cNvPr id="49" name="Straight Connector 74">
          <a:extLst>
            <a:ext uri="{FF2B5EF4-FFF2-40B4-BE49-F238E27FC236}">
              <a16:creationId xmlns:a16="http://schemas.microsoft.com/office/drawing/2014/main" id="{A08630F1-0EBC-4ACC-A58F-4653EF1882C1}"/>
            </a:ext>
            <a:ext uri="{147F2762-F138-4A5C-976F-8EAC2B608ADB}">
              <a16:predDERef xmlns:a16="http://schemas.microsoft.com/office/drawing/2014/main" pred="{D4A8E0B8-CDB7-4C94-AFF3-40AA4C623BB2}"/>
            </a:ext>
          </a:extLst>
        </xdr:cNvPr>
        <xdr:cNvCxnSpPr>
          <a:cxnSpLocks/>
        </xdr:cNvCxnSpPr>
      </xdr:nvCxnSpPr>
      <xdr:spPr>
        <a:xfrm flipV="1">
          <a:off x="10144125" y="3486150"/>
          <a:ext cx="10096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</xdr:colOff>
      <xdr:row>45</xdr:row>
      <xdr:rowOff>85725</xdr:rowOff>
    </xdr:from>
    <xdr:to>
      <xdr:col>43</xdr:col>
      <xdr:colOff>600075</xdr:colOff>
      <xdr:row>45</xdr:row>
      <xdr:rowOff>95250</xdr:rowOff>
    </xdr:to>
    <xdr:cxnSp macro="">
      <xdr:nvCxnSpPr>
        <xdr:cNvPr id="50" name="Straight Connector 91">
          <a:extLst>
            <a:ext uri="{FF2B5EF4-FFF2-40B4-BE49-F238E27FC236}">
              <a16:creationId xmlns:a16="http://schemas.microsoft.com/office/drawing/2014/main" id="{7C618AA8-FEA5-4664-BC0E-B9D2EA33D8AB}"/>
            </a:ext>
            <a:ext uri="{147F2762-F138-4A5C-976F-8EAC2B608ADB}">
              <a16:predDERef xmlns:a16="http://schemas.microsoft.com/office/drawing/2014/main" pred="{A08630F1-0EBC-4ACC-A58F-4653EF1882C1}"/>
            </a:ext>
          </a:extLst>
        </xdr:cNvPr>
        <xdr:cNvCxnSpPr>
          <a:cxnSpLocks/>
        </xdr:cNvCxnSpPr>
      </xdr:nvCxnSpPr>
      <xdr:spPr>
        <a:xfrm>
          <a:off x="30384750" y="3895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37</xdr:row>
      <xdr:rowOff>85725</xdr:rowOff>
    </xdr:from>
    <xdr:to>
      <xdr:col>27</xdr:col>
      <xdr:colOff>590550</xdr:colOff>
      <xdr:row>43</xdr:row>
      <xdr:rowOff>104775</xdr:rowOff>
    </xdr:to>
    <xdr:cxnSp macro="">
      <xdr:nvCxnSpPr>
        <xdr:cNvPr id="51" name="Straight Connector 92">
          <a:extLst>
            <a:ext uri="{FF2B5EF4-FFF2-40B4-BE49-F238E27FC236}">
              <a16:creationId xmlns:a16="http://schemas.microsoft.com/office/drawing/2014/main" id="{AD557AC5-073D-44FA-B8D4-24DA0BCD4A8D}"/>
            </a:ext>
            <a:ext uri="{147F2762-F138-4A5C-976F-8EAC2B608ADB}">
              <a16:predDERef xmlns:a16="http://schemas.microsoft.com/office/drawing/2014/main" pred="{7C618AA8-FEA5-4664-BC0E-B9D2EA33D8AB}"/>
            </a:ext>
          </a:extLst>
        </xdr:cNvPr>
        <xdr:cNvCxnSpPr>
          <a:cxnSpLocks/>
        </xdr:cNvCxnSpPr>
      </xdr:nvCxnSpPr>
      <xdr:spPr>
        <a:xfrm>
          <a:off x="15973425" y="2371725"/>
          <a:ext cx="3286125" cy="1162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45</xdr:row>
      <xdr:rowOff>95250</xdr:rowOff>
    </xdr:from>
    <xdr:to>
      <xdr:col>40</xdr:col>
      <xdr:colOff>0</xdr:colOff>
      <xdr:row>45</xdr:row>
      <xdr:rowOff>123825</xdr:rowOff>
    </xdr:to>
    <xdr:cxnSp macro="">
      <xdr:nvCxnSpPr>
        <xdr:cNvPr id="52" name="Straight Connector 93">
          <a:extLst>
            <a:ext uri="{FF2B5EF4-FFF2-40B4-BE49-F238E27FC236}">
              <a16:creationId xmlns:a16="http://schemas.microsoft.com/office/drawing/2014/main" id="{B5A267FC-17CD-4D5F-B44F-43CAE227E098}"/>
            </a:ext>
            <a:ext uri="{147F2762-F138-4A5C-976F-8EAC2B608ADB}">
              <a16:predDERef xmlns:a16="http://schemas.microsoft.com/office/drawing/2014/main" pred="{AD557AC5-073D-44FA-B8D4-24DA0BCD4A8D}"/>
            </a:ext>
          </a:extLst>
        </xdr:cNvPr>
        <xdr:cNvCxnSpPr>
          <a:cxnSpLocks/>
        </xdr:cNvCxnSpPr>
      </xdr:nvCxnSpPr>
      <xdr:spPr>
        <a:xfrm flipV="1">
          <a:off x="27717750" y="3905250"/>
          <a:ext cx="609600" cy="285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</xdr:colOff>
      <xdr:row>43</xdr:row>
      <xdr:rowOff>85725</xdr:rowOff>
    </xdr:from>
    <xdr:to>
      <xdr:col>60</xdr:col>
      <xdr:colOff>0</xdr:colOff>
      <xdr:row>43</xdr:row>
      <xdr:rowOff>95250</xdr:rowOff>
    </xdr:to>
    <xdr:cxnSp macro="">
      <xdr:nvCxnSpPr>
        <xdr:cNvPr id="53" name="Straight Connector 63">
          <a:extLst>
            <a:ext uri="{FF2B5EF4-FFF2-40B4-BE49-F238E27FC236}">
              <a16:creationId xmlns:a16="http://schemas.microsoft.com/office/drawing/2014/main" id="{E5AB146C-7B1B-4F67-BD30-91B720AD1A71}"/>
            </a:ext>
            <a:ext uri="{147F2762-F138-4A5C-976F-8EAC2B608ADB}">
              <a16:predDERef xmlns:a16="http://schemas.microsoft.com/office/drawing/2014/main" pred="{B5A267FC-17CD-4D5F-B44F-43CAE227E098}"/>
            </a:ext>
          </a:extLst>
        </xdr:cNvPr>
        <xdr:cNvCxnSpPr>
          <a:cxnSpLocks/>
        </xdr:cNvCxnSpPr>
      </xdr:nvCxnSpPr>
      <xdr:spPr>
        <a:xfrm>
          <a:off x="41176575" y="3514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19050</xdr:colOff>
      <xdr:row>43</xdr:row>
      <xdr:rowOff>95250</xdr:rowOff>
    </xdr:from>
    <xdr:to>
      <xdr:col>64</xdr:col>
      <xdr:colOff>0</xdr:colOff>
      <xdr:row>43</xdr:row>
      <xdr:rowOff>104775</xdr:rowOff>
    </xdr:to>
    <xdr:cxnSp macro="">
      <xdr:nvCxnSpPr>
        <xdr:cNvPr id="54" name="Straight Connector 64">
          <a:extLst>
            <a:ext uri="{FF2B5EF4-FFF2-40B4-BE49-F238E27FC236}">
              <a16:creationId xmlns:a16="http://schemas.microsoft.com/office/drawing/2014/main" id="{4D22438D-18AD-456B-B36A-AA43C99CAF0D}"/>
            </a:ext>
            <a:ext uri="{147F2762-F138-4A5C-976F-8EAC2B608ADB}">
              <a16:predDERef xmlns:a16="http://schemas.microsoft.com/office/drawing/2014/main" pred="{E5AB146C-7B1B-4F67-BD30-91B720AD1A71}"/>
            </a:ext>
          </a:extLst>
        </xdr:cNvPr>
        <xdr:cNvCxnSpPr>
          <a:cxnSpLocks/>
        </xdr:cNvCxnSpPr>
      </xdr:nvCxnSpPr>
      <xdr:spPr>
        <a:xfrm>
          <a:off x="43614975" y="3524250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0</xdr:colOff>
      <xdr:row>43</xdr:row>
      <xdr:rowOff>85725</xdr:rowOff>
    </xdr:from>
    <xdr:to>
      <xdr:col>67</xdr:col>
      <xdr:colOff>590550</xdr:colOff>
      <xdr:row>43</xdr:row>
      <xdr:rowOff>95250</xdr:rowOff>
    </xdr:to>
    <xdr:cxnSp macro="">
      <xdr:nvCxnSpPr>
        <xdr:cNvPr id="55" name="Straight Connector 65">
          <a:extLst>
            <a:ext uri="{FF2B5EF4-FFF2-40B4-BE49-F238E27FC236}">
              <a16:creationId xmlns:a16="http://schemas.microsoft.com/office/drawing/2014/main" id="{6A8276FD-36CD-4C6F-AFA3-A121770198D7}"/>
            </a:ext>
            <a:ext uri="{147F2762-F138-4A5C-976F-8EAC2B608ADB}">
              <a16:predDERef xmlns:a16="http://schemas.microsoft.com/office/drawing/2014/main" pred="{4D22438D-18AD-456B-B36A-AA43C99CAF0D}"/>
            </a:ext>
          </a:extLst>
        </xdr:cNvPr>
        <xdr:cNvCxnSpPr>
          <a:cxnSpLocks/>
        </xdr:cNvCxnSpPr>
      </xdr:nvCxnSpPr>
      <xdr:spPr>
        <a:xfrm>
          <a:off x="46196250" y="3514725"/>
          <a:ext cx="5905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37</xdr:row>
      <xdr:rowOff>95250</xdr:rowOff>
    </xdr:from>
    <xdr:to>
      <xdr:col>20</xdr:col>
      <xdr:colOff>0</xdr:colOff>
      <xdr:row>43</xdr:row>
      <xdr:rowOff>123825</xdr:rowOff>
    </xdr:to>
    <xdr:cxnSp macro="">
      <xdr:nvCxnSpPr>
        <xdr:cNvPr id="56" name="Straight Connector 70">
          <a:extLst>
            <a:ext uri="{FF2B5EF4-FFF2-40B4-BE49-F238E27FC236}">
              <a16:creationId xmlns:a16="http://schemas.microsoft.com/office/drawing/2014/main" id="{77756922-098E-42E8-AC3A-22F336AC6C9B}"/>
            </a:ext>
            <a:ext uri="{147F2762-F138-4A5C-976F-8EAC2B608ADB}">
              <a16:predDERef xmlns:a16="http://schemas.microsoft.com/office/drawing/2014/main" pred="{6A8276FD-36CD-4C6F-AFA3-A121770198D7}"/>
            </a:ext>
          </a:extLst>
        </xdr:cNvPr>
        <xdr:cNvCxnSpPr>
          <a:cxnSpLocks/>
        </xdr:cNvCxnSpPr>
      </xdr:nvCxnSpPr>
      <xdr:spPr>
        <a:xfrm flipV="1">
          <a:off x="13173075" y="2381250"/>
          <a:ext cx="609600" cy="11715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41</xdr:row>
      <xdr:rowOff>76200</xdr:rowOff>
    </xdr:from>
    <xdr:to>
      <xdr:col>19</xdr:col>
      <xdr:colOff>590550</xdr:colOff>
      <xdr:row>43</xdr:row>
      <xdr:rowOff>114300</xdr:rowOff>
    </xdr:to>
    <xdr:cxnSp macro="">
      <xdr:nvCxnSpPr>
        <xdr:cNvPr id="57" name="Straight Connector 71">
          <a:extLst>
            <a:ext uri="{FF2B5EF4-FFF2-40B4-BE49-F238E27FC236}">
              <a16:creationId xmlns:a16="http://schemas.microsoft.com/office/drawing/2014/main" id="{B46714E0-C486-48DD-99D1-C745CC9F7133}"/>
            </a:ext>
            <a:ext uri="{147F2762-F138-4A5C-976F-8EAC2B608ADB}">
              <a16:predDERef xmlns:a16="http://schemas.microsoft.com/office/drawing/2014/main" pred="{77756922-098E-42E8-AC3A-22F336AC6C9B}"/>
            </a:ext>
          </a:extLst>
        </xdr:cNvPr>
        <xdr:cNvCxnSpPr>
          <a:cxnSpLocks/>
        </xdr:cNvCxnSpPr>
      </xdr:nvCxnSpPr>
      <xdr:spPr>
        <a:xfrm flipV="1">
          <a:off x="13173075" y="3124200"/>
          <a:ext cx="590550" cy="4191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1057275</xdr:colOff>
      <xdr:row>43</xdr:row>
      <xdr:rowOff>123825</xdr:rowOff>
    </xdr:from>
    <xdr:to>
      <xdr:col>19</xdr:col>
      <xdr:colOff>581025</xdr:colOff>
      <xdr:row>49</xdr:row>
      <xdr:rowOff>104775</xdr:rowOff>
    </xdr:to>
    <xdr:cxnSp macro="">
      <xdr:nvCxnSpPr>
        <xdr:cNvPr id="58" name="Straight Connector 72">
          <a:extLst>
            <a:ext uri="{FF2B5EF4-FFF2-40B4-BE49-F238E27FC236}">
              <a16:creationId xmlns:a16="http://schemas.microsoft.com/office/drawing/2014/main" id="{8FF72D9E-2443-478E-9CAA-65EFD1A1180D}"/>
            </a:ext>
            <a:ext uri="{147F2762-F138-4A5C-976F-8EAC2B608ADB}">
              <a16:predDERef xmlns:a16="http://schemas.microsoft.com/office/drawing/2014/main" pred="{B46714E0-C486-48DD-99D1-C745CC9F7133}"/>
            </a:ext>
          </a:extLst>
        </xdr:cNvPr>
        <xdr:cNvCxnSpPr>
          <a:cxnSpLocks/>
        </xdr:cNvCxnSpPr>
      </xdr:nvCxnSpPr>
      <xdr:spPr>
        <a:xfrm>
          <a:off x="13173075" y="3552825"/>
          <a:ext cx="581025" cy="11239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45</xdr:row>
      <xdr:rowOff>104775</xdr:rowOff>
    </xdr:from>
    <xdr:to>
      <xdr:col>24</xdr:col>
      <xdr:colOff>19050</xdr:colOff>
      <xdr:row>49</xdr:row>
      <xdr:rowOff>95250</xdr:rowOff>
    </xdr:to>
    <xdr:cxnSp macro="">
      <xdr:nvCxnSpPr>
        <xdr:cNvPr id="59" name="Straight Connector 73">
          <a:extLst>
            <a:ext uri="{FF2B5EF4-FFF2-40B4-BE49-F238E27FC236}">
              <a16:creationId xmlns:a16="http://schemas.microsoft.com/office/drawing/2014/main" id="{17BD6470-96ED-4DD3-BB66-722AAB34A972}"/>
            </a:ext>
            <a:ext uri="{147F2762-F138-4A5C-976F-8EAC2B608ADB}">
              <a16:predDERef xmlns:a16="http://schemas.microsoft.com/office/drawing/2014/main" pred="{8FF72D9E-2443-478E-9CAA-65EFD1A1180D}"/>
            </a:ext>
          </a:extLst>
        </xdr:cNvPr>
        <xdr:cNvCxnSpPr>
          <a:cxnSpLocks/>
        </xdr:cNvCxnSpPr>
      </xdr:nvCxnSpPr>
      <xdr:spPr>
        <a:xfrm>
          <a:off x="15973425" y="3914775"/>
          <a:ext cx="619125" cy="7524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41</xdr:row>
      <xdr:rowOff>57150</xdr:rowOff>
    </xdr:from>
    <xdr:to>
      <xdr:col>23</xdr:col>
      <xdr:colOff>600075</xdr:colOff>
      <xdr:row>44</xdr:row>
      <xdr:rowOff>104775</xdr:rowOff>
    </xdr:to>
    <xdr:cxnSp macro="">
      <xdr:nvCxnSpPr>
        <xdr:cNvPr id="60" name="Straight Connector 74">
          <a:extLst>
            <a:ext uri="{FF2B5EF4-FFF2-40B4-BE49-F238E27FC236}">
              <a16:creationId xmlns:a16="http://schemas.microsoft.com/office/drawing/2014/main" id="{28ED8130-B4CB-48F4-A115-93FFACCC6B9F}"/>
            </a:ext>
            <a:ext uri="{147F2762-F138-4A5C-976F-8EAC2B608ADB}">
              <a16:predDERef xmlns:a16="http://schemas.microsoft.com/office/drawing/2014/main" pred="{17BD6470-96ED-4DD3-BB66-722AAB34A972}"/>
            </a:ext>
          </a:extLst>
        </xdr:cNvPr>
        <xdr:cNvCxnSpPr>
          <a:cxnSpLocks/>
        </xdr:cNvCxnSpPr>
      </xdr:nvCxnSpPr>
      <xdr:spPr>
        <a:xfrm>
          <a:off x="15963900" y="3105150"/>
          <a:ext cx="600075" cy="6191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1085850</xdr:colOff>
      <xdr:row>49</xdr:row>
      <xdr:rowOff>38100</xdr:rowOff>
    </xdr:from>
    <xdr:to>
      <xdr:col>24</xdr:col>
      <xdr:colOff>0</xdr:colOff>
      <xdr:row>49</xdr:row>
      <xdr:rowOff>66675</xdr:rowOff>
    </xdr:to>
    <xdr:cxnSp macro="">
      <xdr:nvCxnSpPr>
        <xdr:cNvPr id="61" name="Straight Connector 75">
          <a:extLst>
            <a:ext uri="{FF2B5EF4-FFF2-40B4-BE49-F238E27FC236}">
              <a16:creationId xmlns:a16="http://schemas.microsoft.com/office/drawing/2014/main" id="{799D66A1-6475-4CAC-9CE4-5CD5CA204E9F}"/>
            </a:ext>
            <a:ext uri="{147F2762-F138-4A5C-976F-8EAC2B608ADB}">
              <a16:predDERef xmlns:a16="http://schemas.microsoft.com/office/drawing/2014/main" pred="{28ED8130-B4CB-48F4-A115-93FFACCC6B9F}"/>
            </a:ext>
          </a:extLst>
        </xdr:cNvPr>
        <xdr:cNvCxnSpPr>
          <a:cxnSpLocks/>
        </xdr:cNvCxnSpPr>
      </xdr:nvCxnSpPr>
      <xdr:spPr>
        <a:xfrm>
          <a:off x="15963900" y="4610100"/>
          <a:ext cx="609600" cy="285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43</xdr:row>
      <xdr:rowOff>95250</xdr:rowOff>
    </xdr:from>
    <xdr:to>
      <xdr:col>28</xdr:col>
      <xdr:colOff>0</xdr:colOff>
      <xdr:row>44</xdr:row>
      <xdr:rowOff>57150</xdr:rowOff>
    </xdr:to>
    <xdr:cxnSp macro="">
      <xdr:nvCxnSpPr>
        <xdr:cNvPr id="62" name="Straight Connector 76">
          <a:extLst>
            <a:ext uri="{FF2B5EF4-FFF2-40B4-BE49-F238E27FC236}">
              <a16:creationId xmlns:a16="http://schemas.microsoft.com/office/drawing/2014/main" id="{B45271CB-C138-4462-BFF3-DF352DC51970}"/>
            </a:ext>
            <a:ext uri="{147F2762-F138-4A5C-976F-8EAC2B608ADB}">
              <a16:predDERef xmlns:a16="http://schemas.microsoft.com/office/drawing/2014/main" pred="{799D66A1-6475-4CAC-9CE4-5CD5CA204E9F}"/>
            </a:ext>
          </a:extLst>
        </xdr:cNvPr>
        <xdr:cNvCxnSpPr>
          <a:cxnSpLocks/>
        </xdr:cNvCxnSpPr>
      </xdr:nvCxnSpPr>
      <xdr:spPr>
        <a:xfrm flipV="1">
          <a:off x="18669000" y="3524250"/>
          <a:ext cx="609600" cy="152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1219200</xdr:colOff>
      <xdr:row>41</xdr:row>
      <xdr:rowOff>76200</xdr:rowOff>
    </xdr:from>
    <xdr:to>
      <xdr:col>35</xdr:col>
      <xdr:colOff>571500</xdr:colOff>
      <xdr:row>43</xdr:row>
      <xdr:rowOff>123825</xdr:rowOff>
    </xdr:to>
    <xdr:cxnSp macro="">
      <xdr:nvCxnSpPr>
        <xdr:cNvPr id="63" name="Straight Connector 77">
          <a:extLst>
            <a:ext uri="{FF2B5EF4-FFF2-40B4-BE49-F238E27FC236}">
              <a16:creationId xmlns:a16="http://schemas.microsoft.com/office/drawing/2014/main" id="{84EA308B-7E5C-453E-B22B-D6A8B5A9C9FF}"/>
            </a:ext>
            <a:ext uri="{147F2762-F138-4A5C-976F-8EAC2B608ADB}">
              <a16:predDERef xmlns:a16="http://schemas.microsoft.com/office/drawing/2014/main" pred="{B45271CB-C138-4462-BFF3-DF352DC51970}"/>
            </a:ext>
          </a:extLst>
        </xdr:cNvPr>
        <xdr:cNvCxnSpPr>
          <a:cxnSpLocks/>
        </xdr:cNvCxnSpPr>
      </xdr:nvCxnSpPr>
      <xdr:spPr>
        <a:xfrm flipV="1">
          <a:off x="24441150" y="3124200"/>
          <a:ext cx="590550" cy="4286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1228725</xdr:colOff>
      <xdr:row>43</xdr:row>
      <xdr:rowOff>133350</xdr:rowOff>
    </xdr:from>
    <xdr:to>
      <xdr:col>35</xdr:col>
      <xdr:colOff>600075</xdr:colOff>
      <xdr:row>45</xdr:row>
      <xdr:rowOff>85725</xdr:rowOff>
    </xdr:to>
    <xdr:cxnSp macro="">
      <xdr:nvCxnSpPr>
        <xdr:cNvPr id="64" name="Straight Connector 78">
          <a:extLst>
            <a:ext uri="{FF2B5EF4-FFF2-40B4-BE49-F238E27FC236}">
              <a16:creationId xmlns:a16="http://schemas.microsoft.com/office/drawing/2014/main" id="{821687A7-B4BB-4E1B-AD37-25F11FA8237F}"/>
            </a:ext>
            <a:ext uri="{147F2762-F138-4A5C-976F-8EAC2B608ADB}">
              <a16:predDERef xmlns:a16="http://schemas.microsoft.com/office/drawing/2014/main" pred="{84EA308B-7E5C-453E-B22B-D6A8B5A9C9FF}"/>
            </a:ext>
          </a:extLst>
        </xdr:cNvPr>
        <xdr:cNvCxnSpPr>
          <a:cxnSpLocks/>
        </xdr:cNvCxnSpPr>
      </xdr:nvCxnSpPr>
      <xdr:spPr>
        <a:xfrm>
          <a:off x="24450675" y="3562350"/>
          <a:ext cx="609600" cy="3333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952500</xdr:colOff>
      <xdr:row>41</xdr:row>
      <xdr:rowOff>123825</xdr:rowOff>
    </xdr:from>
    <xdr:to>
      <xdr:col>47</xdr:col>
      <xdr:colOff>600075</xdr:colOff>
      <xdr:row>43</xdr:row>
      <xdr:rowOff>114300</xdr:rowOff>
    </xdr:to>
    <xdr:cxnSp macro="">
      <xdr:nvCxnSpPr>
        <xdr:cNvPr id="65" name="Straight Connector 79">
          <a:extLst>
            <a:ext uri="{FF2B5EF4-FFF2-40B4-BE49-F238E27FC236}">
              <a16:creationId xmlns:a16="http://schemas.microsoft.com/office/drawing/2014/main" id="{C57E5317-C066-4C67-AAD7-3EFE387F4000}"/>
            </a:ext>
            <a:ext uri="{147F2762-F138-4A5C-976F-8EAC2B608ADB}">
              <a16:predDERef xmlns:a16="http://schemas.microsoft.com/office/drawing/2014/main" pred="{821687A7-B4BB-4E1B-AD37-25F11FA8237F}"/>
            </a:ext>
          </a:extLst>
        </xdr:cNvPr>
        <xdr:cNvCxnSpPr>
          <a:cxnSpLocks/>
        </xdr:cNvCxnSpPr>
      </xdr:nvCxnSpPr>
      <xdr:spPr>
        <a:xfrm>
          <a:off x="27708225" y="3171825"/>
          <a:ext cx="5724525" cy="3714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28575</xdr:colOff>
      <xdr:row>38</xdr:row>
      <xdr:rowOff>66675</xdr:rowOff>
    </xdr:from>
    <xdr:to>
      <xdr:col>52</xdr:col>
      <xdr:colOff>9525</xdr:colOff>
      <xdr:row>43</xdr:row>
      <xdr:rowOff>57150</xdr:rowOff>
    </xdr:to>
    <xdr:cxnSp macro="">
      <xdr:nvCxnSpPr>
        <xdr:cNvPr id="66" name="Straight Connector 88">
          <a:extLst>
            <a:ext uri="{FF2B5EF4-FFF2-40B4-BE49-F238E27FC236}">
              <a16:creationId xmlns:a16="http://schemas.microsoft.com/office/drawing/2014/main" id="{7468BA23-F98B-4FD2-B762-76AED2A077AF}"/>
            </a:ext>
            <a:ext uri="{147F2762-F138-4A5C-976F-8EAC2B608ADB}">
              <a16:predDERef xmlns:a16="http://schemas.microsoft.com/office/drawing/2014/main" pred="{C57E5317-C066-4C67-AAD7-3EFE387F4000}"/>
            </a:ext>
          </a:extLst>
        </xdr:cNvPr>
        <xdr:cNvCxnSpPr>
          <a:cxnSpLocks/>
        </xdr:cNvCxnSpPr>
      </xdr:nvCxnSpPr>
      <xdr:spPr>
        <a:xfrm flipV="1">
          <a:off x="36137850" y="2543175"/>
          <a:ext cx="590550" cy="942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42</xdr:row>
      <xdr:rowOff>114300</xdr:rowOff>
    </xdr:from>
    <xdr:to>
      <xdr:col>52</xdr:col>
      <xdr:colOff>19050</xdr:colOff>
      <xdr:row>43</xdr:row>
      <xdr:rowOff>85725</xdr:rowOff>
    </xdr:to>
    <xdr:cxnSp macro="">
      <xdr:nvCxnSpPr>
        <xdr:cNvPr id="67" name="Straight Connector 89">
          <a:extLst>
            <a:ext uri="{FF2B5EF4-FFF2-40B4-BE49-F238E27FC236}">
              <a16:creationId xmlns:a16="http://schemas.microsoft.com/office/drawing/2014/main" id="{1D1EAF49-2C4B-4C1B-AF61-355E06339D0A}"/>
            </a:ext>
            <a:ext uri="{147F2762-F138-4A5C-976F-8EAC2B608ADB}">
              <a16:predDERef xmlns:a16="http://schemas.microsoft.com/office/drawing/2014/main" pred="{7468BA23-F98B-4FD2-B762-76AED2A077AF}"/>
            </a:ext>
          </a:extLst>
        </xdr:cNvPr>
        <xdr:cNvCxnSpPr>
          <a:cxnSpLocks/>
        </xdr:cNvCxnSpPr>
      </xdr:nvCxnSpPr>
      <xdr:spPr>
        <a:xfrm flipV="1">
          <a:off x="36109275" y="3352800"/>
          <a:ext cx="628650" cy="1619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43</xdr:row>
      <xdr:rowOff>57150</xdr:rowOff>
    </xdr:from>
    <xdr:to>
      <xdr:col>51</xdr:col>
      <xdr:colOff>561975</xdr:colOff>
      <xdr:row>46</xdr:row>
      <xdr:rowOff>76200</xdr:rowOff>
    </xdr:to>
    <xdr:cxnSp macro="">
      <xdr:nvCxnSpPr>
        <xdr:cNvPr id="68" name="Straight Connector 90">
          <a:extLst>
            <a:ext uri="{FF2B5EF4-FFF2-40B4-BE49-F238E27FC236}">
              <a16:creationId xmlns:a16="http://schemas.microsoft.com/office/drawing/2014/main" id="{9554200D-3B84-4CAC-90E4-5CF3FA2C0109}"/>
            </a:ext>
            <a:ext uri="{147F2762-F138-4A5C-976F-8EAC2B608ADB}">
              <a16:predDERef xmlns:a16="http://schemas.microsoft.com/office/drawing/2014/main" pred="{1D1EAF49-2C4B-4C1B-AF61-355E06339D0A}"/>
            </a:ext>
          </a:extLst>
        </xdr:cNvPr>
        <xdr:cNvCxnSpPr>
          <a:cxnSpLocks/>
        </xdr:cNvCxnSpPr>
      </xdr:nvCxnSpPr>
      <xdr:spPr>
        <a:xfrm>
          <a:off x="36109275" y="3486150"/>
          <a:ext cx="561975" cy="5905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752475</xdr:colOff>
      <xdr:row>42</xdr:row>
      <xdr:rowOff>104775</xdr:rowOff>
    </xdr:from>
    <xdr:to>
      <xdr:col>55</xdr:col>
      <xdr:colOff>590550</xdr:colOff>
      <xdr:row>43</xdr:row>
      <xdr:rowOff>95250</xdr:rowOff>
    </xdr:to>
    <xdr:cxnSp macro="">
      <xdr:nvCxnSpPr>
        <xdr:cNvPr id="69" name="Straight Connector 92">
          <a:extLst>
            <a:ext uri="{FF2B5EF4-FFF2-40B4-BE49-F238E27FC236}">
              <a16:creationId xmlns:a16="http://schemas.microsoft.com/office/drawing/2014/main" id="{EBFCC953-3484-4FB3-B660-DCF929548141}"/>
            </a:ext>
            <a:ext uri="{147F2762-F138-4A5C-976F-8EAC2B608ADB}">
              <a16:predDERef xmlns:a16="http://schemas.microsoft.com/office/drawing/2014/main" pred="{9554200D-3B84-4CAC-90E4-5CF3FA2C0109}"/>
            </a:ext>
          </a:extLst>
        </xdr:cNvPr>
        <xdr:cNvCxnSpPr>
          <a:cxnSpLocks/>
        </xdr:cNvCxnSpPr>
      </xdr:nvCxnSpPr>
      <xdr:spPr>
        <a:xfrm>
          <a:off x="40957500" y="11382375"/>
          <a:ext cx="609600" cy="180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9525</xdr:colOff>
      <xdr:row>43</xdr:row>
      <xdr:rowOff>95250</xdr:rowOff>
    </xdr:from>
    <xdr:to>
      <xdr:col>55</xdr:col>
      <xdr:colOff>600075</xdr:colOff>
      <xdr:row>46</xdr:row>
      <xdr:rowOff>95250</xdr:rowOff>
    </xdr:to>
    <xdr:cxnSp macro="">
      <xdr:nvCxnSpPr>
        <xdr:cNvPr id="70" name="Straight Connector 93">
          <a:extLst>
            <a:ext uri="{FF2B5EF4-FFF2-40B4-BE49-F238E27FC236}">
              <a16:creationId xmlns:a16="http://schemas.microsoft.com/office/drawing/2014/main" id="{51BD6CA5-0F84-42E6-88CE-76F9200F222B}"/>
            </a:ext>
            <a:ext uri="{147F2762-F138-4A5C-976F-8EAC2B608ADB}">
              <a16:predDERef xmlns:a16="http://schemas.microsoft.com/office/drawing/2014/main" pred="{EBFCC953-3484-4FB3-B660-DCF929548141}"/>
            </a:ext>
          </a:extLst>
        </xdr:cNvPr>
        <xdr:cNvCxnSpPr>
          <a:cxnSpLocks/>
        </xdr:cNvCxnSpPr>
      </xdr:nvCxnSpPr>
      <xdr:spPr>
        <a:xfrm flipV="1">
          <a:off x="40986075" y="11563350"/>
          <a:ext cx="590550" cy="5715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1057275</xdr:colOff>
      <xdr:row>43</xdr:row>
      <xdr:rowOff>133350</xdr:rowOff>
    </xdr:from>
    <xdr:to>
      <xdr:col>19</xdr:col>
      <xdr:colOff>590550</xdr:colOff>
      <xdr:row>45</xdr:row>
      <xdr:rowOff>85725</xdr:rowOff>
    </xdr:to>
    <xdr:cxnSp macro="">
      <xdr:nvCxnSpPr>
        <xdr:cNvPr id="71" name="Straight Connector 1">
          <a:extLst>
            <a:ext uri="{FF2B5EF4-FFF2-40B4-BE49-F238E27FC236}">
              <a16:creationId xmlns:a16="http://schemas.microsoft.com/office/drawing/2014/main" id="{9F92511E-43C0-42DE-B5CF-F1E53875CEF6}"/>
            </a:ext>
            <a:ext uri="{147F2762-F138-4A5C-976F-8EAC2B608ADB}">
              <a16:predDERef xmlns:a16="http://schemas.microsoft.com/office/drawing/2014/main" pred="{51BD6CA5-0F84-42E6-88CE-76F9200F222B}"/>
            </a:ext>
          </a:extLst>
        </xdr:cNvPr>
        <xdr:cNvCxnSpPr>
          <a:cxnSpLocks/>
        </xdr:cNvCxnSpPr>
      </xdr:nvCxnSpPr>
      <xdr:spPr>
        <a:xfrm>
          <a:off x="13173075" y="3562350"/>
          <a:ext cx="590550" cy="3333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43</xdr:row>
      <xdr:rowOff>114300</xdr:rowOff>
    </xdr:from>
    <xdr:to>
      <xdr:col>27</xdr:col>
      <xdr:colOff>571500</xdr:colOff>
      <xdr:row>49</xdr:row>
      <xdr:rowOff>85725</xdr:rowOff>
    </xdr:to>
    <xdr:cxnSp macro="">
      <xdr:nvCxnSpPr>
        <xdr:cNvPr id="72" name="Straight Connector 2">
          <a:extLst>
            <a:ext uri="{FF2B5EF4-FFF2-40B4-BE49-F238E27FC236}">
              <a16:creationId xmlns:a16="http://schemas.microsoft.com/office/drawing/2014/main" id="{F77A7992-731B-42E3-851D-0CB0E4A7F141}"/>
            </a:ext>
            <a:ext uri="{147F2762-F138-4A5C-976F-8EAC2B608ADB}">
              <a16:predDERef xmlns:a16="http://schemas.microsoft.com/office/drawing/2014/main" pred="{9F92511E-43C0-42DE-B5CF-F1E53875CEF6}"/>
            </a:ext>
          </a:extLst>
        </xdr:cNvPr>
        <xdr:cNvCxnSpPr>
          <a:cxnSpLocks/>
        </xdr:cNvCxnSpPr>
      </xdr:nvCxnSpPr>
      <xdr:spPr>
        <a:xfrm flipV="1">
          <a:off x="18669000" y="3543300"/>
          <a:ext cx="571500" cy="11144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9525</xdr:colOff>
      <xdr:row>38</xdr:row>
      <xdr:rowOff>95250</xdr:rowOff>
    </xdr:from>
    <xdr:to>
      <xdr:col>56</xdr:col>
      <xdr:colOff>9525</xdr:colOff>
      <xdr:row>43</xdr:row>
      <xdr:rowOff>114300</xdr:rowOff>
    </xdr:to>
    <xdr:cxnSp macro="">
      <xdr:nvCxnSpPr>
        <xdr:cNvPr id="73" name="Straight Connector 69">
          <a:extLst>
            <a:ext uri="{FF2B5EF4-FFF2-40B4-BE49-F238E27FC236}">
              <a16:creationId xmlns:a16="http://schemas.microsoft.com/office/drawing/2014/main" id="{59366A7D-2595-4914-8050-E8D37A9E567C}"/>
            </a:ext>
            <a:ext uri="{147F2762-F138-4A5C-976F-8EAC2B608ADB}">
              <a16:predDERef xmlns:a16="http://schemas.microsoft.com/office/drawing/2014/main" pred="{F77A7992-731B-42E3-851D-0CB0E4A7F141}"/>
            </a:ext>
          </a:extLst>
        </xdr:cNvPr>
        <xdr:cNvCxnSpPr>
          <a:cxnSpLocks/>
        </xdr:cNvCxnSpPr>
      </xdr:nvCxnSpPr>
      <xdr:spPr>
        <a:xfrm>
          <a:off x="40986075" y="10610850"/>
          <a:ext cx="609600" cy="9715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58</xdr:row>
      <xdr:rowOff>142875</xdr:rowOff>
    </xdr:from>
    <xdr:to>
      <xdr:col>7</xdr:col>
      <xdr:colOff>476250</xdr:colOff>
      <xdr:row>73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1E7CFC-7EE8-BE98-21A1-E51F0A017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41D0-3B60-4F16-ACB0-F82196048563}">
  <dimension ref="A1:C8"/>
  <sheetViews>
    <sheetView workbookViewId="0">
      <selection activeCell="C14" sqref="C14"/>
    </sheetView>
  </sheetViews>
  <sheetFormatPr defaultRowHeight="15"/>
  <cols>
    <col min="1" max="1" width="9.140625" style="2"/>
    <col min="2" max="2" width="27.28515625" customWidth="1"/>
    <col min="3" max="3" width="45" customWidth="1"/>
  </cols>
  <sheetData>
    <row r="1" spans="1:3" ht="16.5">
      <c r="A1" s="33" t="s">
        <v>0</v>
      </c>
      <c r="B1" s="30" t="s">
        <v>1</v>
      </c>
      <c r="C1" s="30" t="s">
        <v>2</v>
      </c>
    </row>
    <row r="2" spans="1:3" ht="16.5">
      <c r="A2" s="34" t="s">
        <v>3</v>
      </c>
      <c r="B2" s="31" t="s">
        <v>4</v>
      </c>
      <c r="C2" s="31" t="s">
        <v>5</v>
      </c>
    </row>
    <row r="3" spans="1:3" ht="16.5">
      <c r="A3" s="35" t="s">
        <v>6</v>
      </c>
      <c r="B3" s="32" t="s">
        <v>7</v>
      </c>
      <c r="C3" s="32" t="s">
        <v>8</v>
      </c>
    </row>
    <row r="4" spans="1:3" ht="16.5">
      <c r="A4" s="35" t="s">
        <v>9</v>
      </c>
      <c r="B4" s="32" t="s">
        <v>10</v>
      </c>
      <c r="C4" s="32" t="s">
        <v>11</v>
      </c>
    </row>
    <row r="5" spans="1:3" ht="16.5">
      <c r="A5" s="35" t="s">
        <v>12</v>
      </c>
      <c r="B5" s="32" t="s">
        <v>13</v>
      </c>
      <c r="C5" s="32" t="s">
        <v>14</v>
      </c>
    </row>
    <row r="6" spans="1:3" ht="16.5">
      <c r="A6" s="35" t="s">
        <v>15</v>
      </c>
      <c r="B6" s="32" t="s">
        <v>16</v>
      </c>
      <c r="C6" s="32" t="s">
        <v>11</v>
      </c>
    </row>
    <row r="7" spans="1:3" ht="16.5">
      <c r="A7" s="35">
        <v>1.6</v>
      </c>
      <c r="B7" s="32" t="s">
        <v>17</v>
      </c>
      <c r="C7" s="32" t="s">
        <v>18</v>
      </c>
    </row>
    <row r="8" spans="1:3" ht="16.5">
      <c r="A8" s="35">
        <v>1.7</v>
      </c>
      <c r="B8" s="32" t="s">
        <v>19</v>
      </c>
      <c r="C8" s="3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50B8-6DF6-4340-996C-6592F0EB965D}">
  <dimension ref="A1:F64"/>
  <sheetViews>
    <sheetView topLeftCell="A17" workbookViewId="0">
      <selection activeCell="C42" sqref="C42"/>
    </sheetView>
  </sheetViews>
  <sheetFormatPr defaultRowHeight="15"/>
  <cols>
    <col min="1" max="1" width="61.85546875" customWidth="1"/>
    <col min="2" max="2" width="19.85546875" style="2" bestFit="1" customWidth="1"/>
    <col min="3" max="3" width="17.7109375" style="2" customWidth="1"/>
    <col min="4" max="4" width="16" style="2" bestFit="1" customWidth="1"/>
    <col min="5" max="5" width="14.85546875" bestFit="1" customWidth="1"/>
  </cols>
  <sheetData>
    <row r="1" spans="1:5">
      <c r="A1" s="11" t="s">
        <v>20</v>
      </c>
      <c r="B1" s="12" t="s">
        <v>21</v>
      </c>
      <c r="C1" s="12" t="s">
        <v>22</v>
      </c>
      <c r="D1" s="12" t="s">
        <v>23</v>
      </c>
      <c r="E1" s="11" t="s">
        <v>24</v>
      </c>
    </row>
    <row r="2" spans="1:5" ht="22.5">
      <c r="A2" s="7" t="s">
        <v>25</v>
      </c>
      <c r="B2" s="12" t="s">
        <v>26</v>
      </c>
      <c r="C2" s="13" t="s">
        <v>26</v>
      </c>
      <c r="D2" s="13" t="s">
        <v>26</v>
      </c>
      <c r="E2" s="13">
        <f>SUM(D3)</f>
        <v>20000</v>
      </c>
    </row>
    <row r="3" spans="1:5" ht="15.75">
      <c r="A3" s="9" t="s">
        <v>27</v>
      </c>
      <c r="B3" s="2">
        <v>10</v>
      </c>
      <c r="C3" s="13">
        <v>10000</v>
      </c>
      <c r="D3" s="13">
        <f>SUM(C3:C4)</f>
        <v>20000</v>
      </c>
      <c r="E3" s="13" t="s">
        <v>26</v>
      </c>
    </row>
    <row r="4" spans="1:5" ht="15.75">
      <c r="A4" s="9" t="s">
        <v>28</v>
      </c>
      <c r="B4" s="2">
        <v>20</v>
      </c>
      <c r="C4" s="13">
        <v>10000</v>
      </c>
      <c r="D4" s="13" t="s">
        <v>26</v>
      </c>
      <c r="E4" s="13" t="s">
        <v>26</v>
      </c>
    </row>
    <row r="5" spans="1:5" ht="22.5">
      <c r="A5" s="7" t="s">
        <v>29</v>
      </c>
      <c r="B5" s="12" t="s">
        <v>30</v>
      </c>
      <c r="C5" s="13" t="s">
        <v>26</v>
      </c>
      <c r="D5" s="13" t="s">
        <v>26</v>
      </c>
      <c r="E5" s="13">
        <f>SUM(C6,C7)</f>
        <v>125000</v>
      </c>
    </row>
    <row r="6" spans="1:5" ht="15.75">
      <c r="A6" s="9" t="s">
        <v>31</v>
      </c>
      <c r="B6" s="2">
        <v>20</v>
      </c>
      <c r="C6" s="13">
        <v>50000</v>
      </c>
      <c r="D6" s="13" t="s">
        <v>26</v>
      </c>
      <c r="E6" s="13" t="s">
        <v>26</v>
      </c>
    </row>
    <row r="7" spans="1:5" ht="15.75">
      <c r="A7" s="9" t="s">
        <v>32</v>
      </c>
      <c r="B7" s="2">
        <v>21</v>
      </c>
      <c r="C7" s="13">
        <v>75000</v>
      </c>
      <c r="D7" s="13" t="s">
        <v>26</v>
      </c>
      <c r="E7" s="13" t="s">
        <v>26</v>
      </c>
    </row>
    <row r="8" spans="1:5" ht="22.5">
      <c r="A8" s="7" t="s">
        <v>33</v>
      </c>
      <c r="B8" s="12" t="s">
        <v>30</v>
      </c>
      <c r="C8" s="13" t="s">
        <v>26</v>
      </c>
      <c r="D8" s="13" t="s">
        <v>26</v>
      </c>
      <c r="E8" s="13">
        <f>SUM(D9,D12,D15)</f>
        <v>870000</v>
      </c>
    </row>
    <row r="9" spans="1:5" ht="15.75">
      <c r="A9" s="8" t="s">
        <v>34</v>
      </c>
      <c r="B9" s="2" t="s">
        <v>26</v>
      </c>
      <c r="C9" s="13" t="s">
        <v>26</v>
      </c>
      <c r="D9" s="13">
        <f>SUM(C10,C11)</f>
        <v>60000</v>
      </c>
      <c r="E9" s="13" t="s">
        <v>26</v>
      </c>
    </row>
    <row r="10" spans="1:5" ht="15.75">
      <c r="A10" s="9" t="s">
        <v>35</v>
      </c>
      <c r="B10" s="2">
        <v>42</v>
      </c>
      <c r="C10" s="13">
        <v>30000</v>
      </c>
      <c r="D10" s="13" t="s">
        <v>26</v>
      </c>
      <c r="E10" s="13" t="s">
        <v>26</v>
      </c>
    </row>
    <row r="11" spans="1:5" ht="15.75">
      <c r="A11" s="9" t="s">
        <v>36</v>
      </c>
      <c r="B11" s="2">
        <v>42</v>
      </c>
      <c r="C11" s="13">
        <v>30000</v>
      </c>
      <c r="D11" s="13" t="s">
        <v>26</v>
      </c>
      <c r="E11" s="13" t="s">
        <v>26</v>
      </c>
    </row>
    <row r="12" spans="1:5" ht="15.75">
      <c r="A12" s="8" t="s">
        <v>37</v>
      </c>
      <c r="B12" s="2" t="s">
        <v>26</v>
      </c>
      <c r="C12" s="13" t="s">
        <v>26</v>
      </c>
      <c r="D12" s="13">
        <f>SUM(C13,C14)</f>
        <v>500000</v>
      </c>
      <c r="E12" s="13" t="s">
        <v>26</v>
      </c>
    </row>
    <row r="13" spans="1:5" ht="15.75">
      <c r="A13" s="9" t="s">
        <v>38</v>
      </c>
      <c r="B13" s="2">
        <v>48</v>
      </c>
      <c r="C13" s="13">
        <v>200000</v>
      </c>
      <c r="D13" s="13" t="s">
        <v>26</v>
      </c>
      <c r="E13" s="13" t="s">
        <v>26</v>
      </c>
    </row>
    <row r="14" spans="1:5" ht="15.75">
      <c r="A14" s="9" t="s">
        <v>39</v>
      </c>
      <c r="B14" s="2">
        <v>48</v>
      </c>
      <c r="C14" s="13">
        <v>300000</v>
      </c>
      <c r="D14" s="13" t="s">
        <v>26</v>
      </c>
      <c r="E14" s="13" t="s">
        <v>26</v>
      </c>
    </row>
    <row r="15" spans="1:5" ht="15.75">
      <c r="A15" s="8" t="s">
        <v>40</v>
      </c>
      <c r="B15" s="2" t="s">
        <v>26</v>
      </c>
      <c r="C15" s="13" t="s">
        <v>26</v>
      </c>
      <c r="D15" s="13">
        <f>SUM(C16:C18)</f>
        <v>310000</v>
      </c>
      <c r="E15" s="13" t="s">
        <v>26</v>
      </c>
    </row>
    <row r="16" spans="1:5" ht="15.75">
      <c r="A16" s="9" t="s">
        <v>41</v>
      </c>
      <c r="B16" s="2">
        <v>28</v>
      </c>
      <c r="C16" s="13">
        <v>40000</v>
      </c>
      <c r="D16" s="13" t="s">
        <v>26</v>
      </c>
      <c r="E16" s="13" t="s">
        <v>26</v>
      </c>
    </row>
    <row r="17" spans="1:5" ht="15.75">
      <c r="A17" s="9" t="s">
        <v>42</v>
      </c>
      <c r="B17" s="2">
        <v>48</v>
      </c>
      <c r="C17" s="13">
        <v>150000</v>
      </c>
      <c r="D17" s="13" t="s">
        <v>26</v>
      </c>
      <c r="E17" s="13" t="s">
        <v>26</v>
      </c>
    </row>
    <row r="18" spans="1:5" ht="15.75">
      <c r="A18" s="9" t="s">
        <v>43</v>
      </c>
      <c r="B18" s="2">
        <v>42</v>
      </c>
      <c r="C18" s="13">
        <v>120000</v>
      </c>
      <c r="D18" s="13" t="s">
        <v>26</v>
      </c>
      <c r="E18" s="13" t="s">
        <v>26</v>
      </c>
    </row>
    <row r="19" spans="1:5" ht="22.5">
      <c r="A19" s="17" t="s">
        <v>44</v>
      </c>
      <c r="B19" s="12" t="s">
        <v>30</v>
      </c>
      <c r="C19" s="13" t="s">
        <v>26</v>
      </c>
      <c r="D19" s="13">
        <f>SUM(C20:C21)</f>
        <v>5500000</v>
      </c>
      <c r="E19" s="13">
        <f>SUM(D19)</f>
        <v>5500000</v>
      </c>
    </row>
    <row r="20" spans="1:5" ht="15.75">
      <c r="A20" s="9" t="s">
        <v>45</v>
      </c>
      <c r="B20" s="2">
        <v>100</v>
      </c>
      <c r="C20" s="13">
        <v>3000000</v>
      </c>
      <c r="D20" s="13" t="s">
        <v>26</v>
      </c>
      <c r="E20" s="13" t="s">
        <v>26</v>
      </c>
    </row>
    <row r="21" spans="1:5" ht="15.75">
      <c r="A21" s="9" t="s">
        <v>46</v>
      </c>
      <c r="B21" s="2">
        <v>84</v>
      </c>
      <c r="C21" s="13">
        <v>2500000</v>
      </c>
      <c r="D21" s="13" t="s">
        <v>26</v>
      </c>
      <c r="E21" s="13" t="s">
        <v>26</v>
      </c>
    </row>
    <row r="22" spans="1:5" ht="22.5">
      <c r="A22" s="7" t="s">
        <v>47</v>
      </c>
      <c r="B22" s="12" t="s">
        <v>30</v>
      </c>
      <c r="C22" s="13" t="s">
        <v>26</v>
      </c>
      <c r="D22" s="13" t="s">
        <v>26</v>
      </c>
      <c r="E22" s="13">
        <f>SUM(D23,D26)</f>
        <v>5050000</v>
      </c>
    </row>
    <row r="23" spans="1:5" ht="15.75">
      <c r="A23" s="15" t="s">
        <v>48</v>
      </c>
      <c r="B23" s="2" t="s">
        <v>26</v>
      </c>
      <c r="C23" s="13" t="s">
        <v>26</v>
      </c>
      <c r="D23" s="13">
        <f>SUM(C24:C25)</f>
        <v>1350000</v>
      </c>
      <c r="E23" s="13" t="s">
        <v>26</v>
      </c>
    </row>
    <row r="24" spans="1:5" ht="15.75">
      <c r="A24" s="9" t="s">
        <v>49</v>
      </c>
      <c r="B24" s="2">
        <v>56</v>
      </c>
      <c r="C24" s="13">
        <v>150000</v>
      </c>
      <c r="D24" s="13" t="s">
        <v>26</v>
      </c>
      <c r="E24" s="13" t="s">
        <v>26</v>
      </c>
    </row>
    <row r="25" spans="1:5" ht="15.75">
      <c r="A25" s="9" t="s">
        <v>50</v>
      </c>
      <c r="B25" s="2">
        <v>84</v>
      </c>
      <c r="C25" s="13">
        <v>1200000</v>
      </c>
      <c r="D25" s="13" t="s">
        <v>26</v>
      </c>
      <c r="E25" s="13" t="s">
        <v>26</v>
      </c>
    </row>
    <row r="26" spans="1:5" ht="15.75">
      <c r="A26" s="15" t="s">
        <v>51</v>
      </c>
      <c r="B26" s="2" t="s">
        <v>26</v>
      </c>
      <c r="C26" s="13" t="s">
        <v>26</v>
      </c>
      <c r="D26" s="13">
        <f>SUM(C27:C28)</f>
        <v>3700000</v>
      </c>
      <c r="E26" s="13" t="s">
        <v>26</v>
      </c>
    </row>
    <row r="27" spans="1:5" ht="15.75">
      <c r="A27" s="9" t="s">
        <v>52</v>
      </c>
      <c r="B27" s="2">
        <v>84</v>
      </c>
      <c r="C27" s="13">
        <v>1200000</v>
      </c>
      <c r="D27" s="13" t="s">
        <v>26</v>
      </c>
      <c r="E27" s="13" t="s">
        <v>26</v>
      </c>
    </row>
    <row r="28" spans="1:5" ht="15.75">
      <c r="A28" s="9" t="s">
        <v>53</v>
      </c>
      <c r="B28" s="2">
        <v>45</v>
      </c>
      <c r="C28" s="13">
        <v>2500000</v>
      </c>
      <c r="D28" s="13" t="s">
        <v>26</v>
      </c>
      <c r="E28" s="13" t="s">
        <v>26</v>
      </c>
    </row>
    <row r="29" spans="1:5" ht="22.5">
      <c r="A29" s="17" t="s">
        <v>54</v>
      </c>
      <c r="B29" s="12" t="s">
        <v>30</v>
      </c>
      <c r="C29" s="13" t="s">
        <v>26</v>
      </c>
      <c r="D29" s="13" t="s">
        <v>26</v>
      </c>
      <c r="E29" s="13">
        <f>SUM(D30)</f>
        <v>3300000</v>
      </c>
    </row>
    <row r="30" spans="1:5" ht="15.75">
      <c r="A30" s="15" t="s">
        <v>55</v>
      </c>
      <c r="B30" s="2" t="s">
        <v>26</v>
      </c>
      <c r="C30" s="13" t="s">
        <v>26</v>
      </c>
      <c r="D30" s="13">
        <f>SUM(C31:C34)</f>
        <v>3300000</v>
      </c>
      <c r="E30" s="13" t="s">
        <v>26</v>
      </c>
    </row>
    <row r="31" spans="1:5" ht="15.75">
      <c r="A31" s="9" t="s">
        <v>56</v>
      </c>
      <c r="B31" s="2">
        <v>70</v>
      </c>
      <c r="C31" s="13">
        <v>100000</v>
      </c>
      <c r="D31" s="13" t="s">
        <v>26</v>
      </c>
      <c r="E31" s="13" t="s">
        <v>26</v>
      </c>
    </row>
    <row r="32" spans="1:5" ht="15.75">
      <c r="A32" s="9" t="s">
        <v>57</v>
      </c>
      <c r="B32" s="2">
        <v>105</v>
      </c>
      <c r="C32" s="13">
        <v>2500000</v>
      </c>
      <c r="D32" s="13" t="s">
        <v>26</v>
      </c>
      <c r="E32" s="13" t="s">
        <v>26</v>
      </c>
    </row>
    <row r="33" spans="1:6" ht="15.75">
      <c r="A33" s="9" t="s">
        <v>58</v>
      </c>
      <c r="B33" s="2">
        <v>70</v>
      </c>
      <c r="C33" s="13">
        <v>600000</v>
      </c>
      <c r="D33" s="13" t="s">
        <v>26</v>
      </c>
      <c r="E33" s="13" t="s">
        <v>26</v>
      </c>
    </row>
    <row r="34" spans="1:6" ht="15.75">
      <c r="A34" s="19" t="s">
        <v>59</v>
      </c>
      <c r="B34" s="2">
        <v>30</v>
      </c>
      <c r="C34" s="13">
        <v>100000</v>
      </c>
      <c r="D34" s="13" t="s">
        <v>26</v>
      </c>
      <c r="E34" s="13" t="s">
        <v>26</v>
      </c>
    </row>
    <row r="35" spans="1:6" ht="22.5">
      <c r="A35" s="17" t="s">
        <v>60</v>
      </c>
      <c r="B35" s="12" t="s">
        <v>30</v>
      </c>
      <c r="C35" s="13" t="s">
        <v>26</v>
      </c>
      <c r="D35" s="13" t="s">
        <v>26</v>
      </c>
      <c r="E35" s="13">
        <f>SUM(D36,D39)</f>
        <v>450000</v>
      </c>
      <c r="F35" s="18"/>
    </row>
    <row r="36" spans="1:6" ht="15.75">
      <c r="A36" s="15" t="s">
        <v>61</v>
      </c>
      <c r="B36" s="2" t="s">
        <v>26</v>
      </c>
      <c r="C36" s="13" t="s">
        <v>26</v>
      </c>
      <c r="D36" s="13">
        <f>SUM(C37:C38)</f>
        <v>250000</v>
      </c>
      <c r="E36" s="13" t="s">
        <v>26</v>
      </c>
    </row>
    <row r="37" spans="1:6" ht="15.75">
      <c r="A37" s="9" t="s">
        <v>62</v>
      </c>
      <c r="B37" s="2">
        <v>28</v>
      </c>
      <c r="C37" s="13">
        <v>150000</v>
      </c>
      <c r="D37" s="13" t="s">
        <v>26</v>
      </c>
      <c r="E37" s="13" t="s">
        <v>26</v>
      </c>
    </row>
    <row r="38" spans="1:6" ht="15.75">
      <c r="A38" s="9" t="s">
        <v>63</v>
      </c>
      <c r="B38" s="2">
        <v>28</v>
      </c>
      <c r="C38" s="13">
        <v>100000</v>
      </c>
      <c r="D38" s="13" t="s">
        <v>26</v>
      </c>
      <c r="E38" s="13" t="s">
        <v>26</v>
      </c>
    </row>
    <row r="39" spans="1:6" ht="15.75">
      <c r="A39" s="15" t="s">
        <v>64</v>
      </c>
      <c r="B39" s="2" t="s">
        <v>26</v>
      </c>
      <c r="C39" s="13" t="s">
        <v>26</v>
      </c>
      <c r="D39" s="13">
        <f>SUM(C40:C41)</f>
        <v>200000</v>
      </c>
      <c r="E39" s="13" t="s">
        <v>26</v>
      </c>
    </row>
    <row r="40" spans="1:6" ht="15.75">
      <c r="A40" s="9" t="s">
        <v>65</v>
      </c>
      <c r="B40" s="2">
        <v>28</v>
      </c>
      <c r="C40" s="13">
        <v>150000</v>
      </c>
      <c r="D40" s="13" t="s">
        <v>26</v>
      </c>
      <c r="E40" s="13" t="s">
        <v>26</v>
      </c>
    </row>
    <row r="41" spans="1:6" ht="15.75">
      <c r="A41" s="9" t="s">
        <v>66</v>
      </c>
      <c r="B41" s="2">
        <v>14</v>
      </c>
      <c r="C41" s="13">
        <v>50000</v>
      </c>
      <c r="D41" s="13" t="s">
        <v>26</v>
      </c>
      <c r="E41" s="13" t="s">
        <v>26</v>
      </c>
    </row>
    <row r="42" spans="1:6" ht="15.75">
      <c r="A42" s="9"/>
      <c r="C42" s="13"/>
      <c r="D42" s="13"/>
      <c r="E42" s="13"/>
    </row>
    <row r="43" spans="1:6">
      <c r="A43" s="11" t="s">
        <v>67</v>
      </c>
      <c r="B43" s="12">
        <f>SUM(B3:B41)</f>
        <v>1195</v>
      </c>
      <c r="C43" s="13"/>
      <c r="D43" s="13"/>
      <c r="E43" s="14">
        <f>SUM(E2:E41)</f>
        <v>15315000</v>
      </c>
    </row>
    <row r="46" spans="1:6">
      <c r="A46" s="12"/>
      <c r="B46" s="12"/>
      <c r="C46" s="12"/>
      <c r="D46" s="12"/>
    </row>
    <row r="47" spans="1:6" ht="15.75">
      <c r="A47" s="8"/>
      <c r="D47" s="13"/>
    </row>
    <row r="48" spans="1:6" ht="15.75">
      <c r="A48" s="8"/>
      <c r="D48" s="20"/>
    </row>
    <row r="49" spans="1:4" ht="15.75">
      <c r="A49" s="8"/>
      <c r="D49" s="20"/>
    </row>
    <row r="50" spans="1:4" ht="15.75">
      <c r="A50" s="8"/>
      <c r="D50" s="20"/>
    </row>
    <row r="51" spans="1:4" ht="15.75">
      <c r="A51" s="8"/>
      <c r="D51" s="20"/>
    </row>
    <row r="52" spans="1:4" ht="15.75">
      <c r="A52" s="8"/>
      <c r="D52" s="20"/>
    </row>
    <row r="53" spans="1:4" ht="15.75">
      <c r="A53" s="8"/>
      <c r="D53" s="20"/>
    </row>
    <row r="54" spans="1:4" ht="15.75">
      <c r="A54" s="8"/>
      <c r="D54" s="20"/>
    </row>
    <row r="55" spans="1:4" ht="15.75">
      <c r="A55" s="21"/>
      <c r="D55" s="20"/>
    </row>
    <row r="56" spans="1:4" ht="15.75">
      <c r="A56" s="21"/>
      <c r="D56" s="20"/>
    </row>
    <row r="57" spans="1:4" ht="15.75">
      <c r="A57" s="8"/>
      <c r="D57" s="20"/>
    </row>
    <row r="58" spans="1:4" ht="15.75">
      <c r="A58" s="8"/>
      <c r="D58" s="20"/>
    </row>
    <row r="59" spans="1:4" ht="15.75">
      <c r="A59" s="8"/>
      <c r="D59" s="20"/>
    </row>
    <row r="60" spans="1:4" ht="15.75">
      <c r="A60" s="8"/>
      <c r="D60" s="20"/>
    </row>
    <row r="61" spans="1:4" ht="15.75">
      <c r="A61" s="15"/>
      <c r="D61" s="20"/>
    </row>
    <row r="62" spans="1:4" ht="15.75">
      <c r="A62" s="8"/>
      <c r="D62" s="20"/>
    </row>
    <row r="63" spans="1:4" ht="15.75">
      <c r="A63" s="8"/>
      <c r="D63" s="20"/>
    </row>
    <row r="64" spans="1:4">
      <c r="B64" s="12"/>
      <c r="C64" s="12"/>
      <c r="D64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/>
  </sheetViews>
  <sheetFormatPr defaultRowHeight="15"/>
  <cols>
    <col min="1" max="1" width="9.140625" style="2"/>
    <col min="2" max="2" width="26.7109375" customWidth="1"/>
    <col min="3" max="3" width="9.140625" style="2"/>
    <col min="4" max="4" width="12.140625" style="2" customWidth="1"/>
    <col min="5" max="5" width="13.140625" style="2" customWidth="1"/>
    <col min="6" max="6" width="12.7109375" style="2" customWidth="1"/>
    <col min="7" max="7" width="11.7109375" style="2" customWidth="1"/>
    <col min="8" max="8" width="11.85546875" style="2" customWidth="1"/>
    <col min="11" max="11" width="11.28515625" customWidth="1"/>
  </cols>
  <sheetData>
    <row r="1" spans="1:12" ht="23.25">
      <c r="A1" s="36" t="s">
        <v>68</v>
      </c>
      <c r="B1" s="37" t="s">
        <v>69</v>
      </c>
      <c r="C1" s="36" t="s">
        <v>70</v>
      </c>
      <c r="D1" s="36" t="s">
        <v>71</v>
      </c>
      <c r="E1" s="36" t="s">
        <v>72</v>
      </c>
      <c r="F1" s="36" t="s">
        <v>73</v>
      </c>
      <c r="G1" s="36" t="s">
        <v>74</v>
      </c>
      <c r="H1" s="36" t="s">
        <v>75</v>
      </c>
      <c r="J1" s="104" t="s">
        <v>76</v>
      </c>
      <c r="K1" s="105"/>
    </row>
    <row r="2" spans="1:12">
      <c r="A2" s="38">
        <v>1</v>
      </c>
      <c r="B2" s="39" t="s">
        <v>4</v>
      </c>
      <c r="C2" s="40" t="s">
        <v>77</v>
      </c>
      <c r="D2" s="40" t="s">
        <v>78</v>
      </c>
      <c r="E2" s="40" t="s">
        <v>78</v>
      </c>
      <c r="F2" s="40" t="s">
        <v>78</v>
      </c>
      <c r="G2" s="40" t="s">
        <v>79</v>
      </c>
      <c r="H2" s="40" t="s">
        <v>80</v>
      </c>
      <c r="J2" s="5" t="s">
        <v>77</v>
      </c>
      <c r="K2" s="4" t="s">
        <v>81</v>
      </c>
      <c r="L2" t="s">
        <v>82</v>
      </c>
    </row>
    <row r="3" spans="1:12">
      <c r="A3" s="41">
        <v>2</v>
      </c>
      <c r="B3" s="42" t="s">
        <v>7</v>
      </c>
      <c r="C3" s="40" t="s">
        <v>78</v>
      </c>
      <c r="D3" s="43" t="s">
        <v>80</v>
      </c>
      <c r="E3" s="43"/>
      <c r="F3" s="43" t="s">
        <v>80</v>
      </c>
      <c r="G3" s="43" t="s">
        <v>77</v>
      </c>
      <c r="H3" s="43" t="s">
        <v>79</v>
      </c>
      <c r="J3" s="6" t="s">
        <v>79</v>
      </c>
      <c r="K3" s="3" t="s">
        <v>83</v>
      </c>
      <c r="L3" t="s">
        <v>84</v>
      </c>
    </row>
    <row r="4" spans="1:12">
      <c r="A4" s="41">
        <v>3</v>
      </c>
      <c r="B4" s="42" t="s">
        <v>85</v>
      </c>
      <c r="C4" s="40" t="s">
        <v>78</v>
      </c>
      <c r="D4" s="43" t="s">
        <v>77</v>
      </c>
      <c r="E4" s="43" t="s">
        <v>80</v>
      </c>
      <c r="F4" s="43" t="s">
        <v>80</v>
      </c>
      <c r="G4" s="43" t="s">
        <v>78</v>
      </c>
      <c r="H4" s="43"/>
      <c r="J4" s="6" t="s">
        <v>80</v>
      </c>
      <c r="K4" s="3" t="s">
        <v>86</v>
      </c>
      <c r="L4" t="s">
        <v>87</v>
      </c>
    </row>
    <row r="5" spans="1:12">
      <c r="A5" s="41">
        <v>4</v>
      </c>
      <c r="B5" s="42" t="s">
        <v>88</v>
      </c>
      <c r="C5" s="40" t="s">
        <v>78</v>
      </c>
      <c r="D5" s="43" t="s">
        <v>80</v>
      </c>
      <c r="E5" s="43" t="s">
        <v>77</v>
      </c>
      <c r="F5" s="43" t="s">
        <v>80</v>
      </c>
      <c r="G5" s="43" t="s">
        <v>80</v>
      </c>
      <c r="H5" s="43"/>
      <c r="J5" s="6" t="s">
        <v>78</v>
      </c>
      <c r="K5" s="3" t="s">
        <v>89</v>
      </c>
      <c r="L5" t="s">
        <v>90</v>
      </c>
    </row>
    <row r="6" spans="1:12">
      <c r="A6" s="41">
        <v>5</v>
      </c>
      <c r="B6" s="42" t="s">
        <v>16</v>
      </c>
      <c r="C6" s="40" t="s">
        <v>78</v>
      </c>
      <c r="D6" s="43" t="s">
        <v>79</v>
      </c>
      <c r="E6" s="43" t="s">
        <v>77</v>
      </c>
      <c r="F6" s="43" t="s">
        <v>79</v>
      </c>
      <c r="G6" s="43" t="s">
        <v>80</v>
      </c>
      <c r="H6" s="43"/>
    </row>
    <row r="7" spans="1:12">
      <c r="A7" s="41">
        <v>6</v>
      </c>
      <c r="B7" s="42" t="s">
        <v>91</v>
      </c>
      <c r="C7" s="40" t="s">
        <v>78</v>
      </c>
      <c r="D7" s="43" t="s">
        <v>79</v>
      </c>
      <c r="E7" s="43" t="s">
        <v>78</v>
      </c>
      <c r="F7" s="43" t="s">
        <v>77</v>
      </c>
      <c r="G7" s="43" t="s">
        <v>80</v>
      </c>
      <c r="H7" s="43"/>
    </row>
    <row r="8" spans="1:12">
      <c r="A8" s="41">
        <v>7</v>
      </c>
      <c r="B8" s="42" t="s">
        <v>92</v>
      </c>
      <c r="C8" s="40" t="s">
        <v>80</v>
      </c>
      <c r="D8" s="43" t="s">
        <v>77</v>
      </c>
      <c r="E8" s="43"/>
      <c r="F8" s="43" t="s">
        <v>77</v>
      </c>
      <c r="G8" s="43" t="s">
        <v>80</v>
      </c>
      <c r="H8" s="43" t="s">
        <v>78</v>
      </c>
    </row>
    <row r="9" spans="1:12">
      <c r="A9" s="1"/>
    </row>
  </sheetData>
  <mergeCells count="1"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C1C7-5718-4265-9918-685018ACDFB4}">
  <dimension ref="A1:BO84"/>
  <sheetViews>
    <sheetView workbookViewId="0">
      <selection activeCell="AF32" sqref="AF32"/>
    </sheetView>
  </sheetViews>
  <sheetFormatPr defaultRowHeight="15"/>
  <cols>
    <col min="1" max="1" width="6.42578125" customWidth="1"/>
    <col min="2" max="2" width="13.28515625" bestFit="1" customWidth="1"/>
    <col min="5" max="5" width="6.28515625" customWidth="1"/>
    <col min="6" max="6" width="11" customWidth="1"/>
    <col min="9" max="9" width="6.42578125" customWidth="1"/>
    <col min="11" max="11" width="11.85546875" customWidth="1"/>
    <col min="13" max="13" width="5.85546875" customWidth="1"/>
    <col min="14" max="14" width="10.5703125" customWidth="1"/>
    <col min="15" max="15" width="10" customWidth="1"/>
    <col min="17" max="17" width="6.140625" customWidth="1"/>
    <col min="21" max="21" width="5.5703125" customWidth="1"/>
    <col min="23" max="23" width="10.42578125" customWidth="1"/>
  </cols>
  <sheetData>
    <row r="1" spans="1:39">
      <c r="A1" s="118" t="s">
        <v>76</v>
      </c>
      <c r="B1" s="118"/>
      <c r="C1" s="118"/>
      <c r="E1" s="138" t="s">
        <v>93</v>
      </c>
      <c r="F1" s="139"/>
      <c r="G1" s="112" t="s">
        <v>94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spans="1:39">
      <c r="A2" s="10" t="s">
        <v>95</v>
      </c>
      <c r="B2" s="10" t="s">
        <v>96</v>
      </c>
      <c r="C2" s="10" t="s">
        <v>97</v>
      </c>
      <c r="E2" s="108" t="s">
        <v>98</v>
      </c>
      <c r="F2" s="109"/>
      <c r="G2" s="140" t="s">
        <v>99</v>
      </c>
      <c r="H2" s="140"/>
      <c r="I2" s="140"/>
      <c r="J2" s="140"/>
      <c r="K2" s="140"/>
      <c r="L2" s="140"/>
      <c r="M2" s="140"/>
      <c r="N2" s="140"/>
      <c r="O2" s="140"/>
      <c r="P2" s="140"/>
    </row>
    <row r="3" spans="1:39">
      <c r="A3" s="10" t="s">
        <v>100</v>
      </c>
      <c r="B3" s="106" t="s">
        <v>101</v>
      </c>
      <c r="C3" s="107"/>
      <c r="E3" s="110"/>
      <c r="F3" s="111"/>
      <c r="G3" s="140" t="s">
        <v>102</v>
      </c>
      <c r="H3" s="140"/>
      <c r="I3" s="140"/>
      <c r="J3" s="140"/>
      <c r="K3" s="140"/>
      <c r="L3" s="140"/>
      <c r="M3" s="140"/>
      <c r="N3" s="140"/>
      <c r="O3" s="140"/>
      <c r="P3" s="140"/>
    </row>
    <row r="4" spans="1:39">
      <c r="A4" s="10" t="s">
        <v>103</v>
      </c>
      <c r="B4" s="10" t="s">
        <v>104</v>
      </c>
      <c r="C4" s="10" t="s">
        <v>105</v>
      </c>
      <c r="E4" s="141" t="s">
        <v>106</v>
      </c>
      <c r="F4" s="142"/>
      <c r="G4" s="106" t="s">
        <v>107</v>
      </c>
      <c r="H4" s="114"/>
      <c r="I4" s="114"/>
      <c r="J4" s="114"/>
      <c r="K4" s="114"/>
      <c r="L4" s="114"/>
      <c r="M4" s="114"/>
      <c r="N4" s="114"/>
      <c r="O4" s="114"/>
      <c r="P4" s="107"/>
    </row>
    <row r="5" spans="1:39">
      <c r="E5" s="119" t="s">
        <v>108</v>
      </c>
      <c r="F5" s="120"/>
      <c r="G5" s="106">
        <f>A19</f>
        <v>1509</v>
      </c>
      <c r="H5" s="114"/>
      <c r="I5" s="114"/>
      <c r="J5" s="114"/>
      <c r="K5" s="114"/>
      <c r="L5" s="114"/>
      <c r="M5" s="114"/>
      <c r="N5" s="114"/>
      <c r="O5" s="114"/>
      <c r="P5" s="107"/>
    </row>
    <row r="7" spans="1:39">
      <c r="Q7" s="10">
        <f>O18</f>
        <v>93</v>
      </c>
      <c r="R7" s="10" t="s">
        <v>109</v>
      </c>
      <c r="S7" s="10">
        <f>Q7+R9</f>
        <v>135</v>
      </c>
    </row>
    <row r="8" spans="1:39">
      <c r="Q8" s="10">
        <f>Q9-Q7</f>
        <v>1515</v>
      </c>
      <c r="R8" s="115" t="s">
        <v>110</v>
      </c>
      <c r="S8" s="116"/>
    </row>
    <row r="9" spans="1:39">
      <c r="Q9" s="10">
        <f>S9-R9</f>
        <v>1608</v>
      </c>
      <c r="R9" s="10">
        <v>42</v>
      </c>
      <c r="S9" s="10">
        <f>U20</f>
        <v>1650</v>
      </c>
    </row>
    <row r="11" spans="1:39">
      <c r="Q11" s="10">
        <f>O18</f>
        <v>93</v>
      </c>
      <c r="R11" s="10" t="s">
        <v>111</v>
      </c>
      <c r="S11" s="10">
        <f>Q11+R13</f>
        <v>135</v>
      </c>
      <c r="AC11" s="10">
        <f>AA18</f>
        <v>325</v>
      </c>
      <c r="AD11" s="10" t="s">
        <v>112</v>
      </c>
      <c r="AE11" s="10">
        <f>AC11+AD13</f>
        <v>381</v>
      </c>
    </row>
    <row r="12" spans="1:39">
      <c r="Q12" s="10">
        <f>Q13-Q11</f>
        <v>1515</v>
      </c>
      <c r="R12" s="115" t="s">
        <v>113</v>
      </c>
      <c r="S12" s="116"/>
      <c r="AC12" s="10">
        <f>AC13-AC11</f>
        <v>1537</v>
      </c>
      <c r="AD12" s="115" t="s">
        <v>114</v>
      </c>
      <c r="AE12" s="116"/>
    </row>
    <row r="13" spans="1:39">
      <c r="Q13" s="10">
        <f>S13-R13</f>
        <v>1608</v>
      </c>
      <c r="R13" s="29">
        <v>42</v>
      </c>
      <c r="S13" s="10">
        <f>U20</f>
        <v>1650</v>
      </c>
      <c r="AC13" s="10">
        <f>AE13-AD13</f>
        <v>1862</v>
      </c>
      <c r="AD13" s="10">
        <v>56</v>
      </c>
      <c r="AE13" s="10">
        <f>AG20</f>
        <v>1918</v>
      </c>
      <c r="AK13" s="10">
        <f>AI18</f>
        <v>479</v>
      </c>
      <c r="AL13" s="10" t="s">
        <v>115</v>
      </c>
      <c r="AM13" s="10">
        <f>AK13+AL15</f>
        <v>584</v>
      </c>
    </row>
    <row r="14" spans="1:39">
      <c r="AK14" s="10">
        <f>AK15-AK13</f>
        <v>1509</v>
      </c>
      <c r="AL14" s="115" t="s">
        <v>116</v>
      </c>
      <c r="AM14" s="116"/>
    </row>
    <row r="15" spans="1:39">
      <c r="I15" s="10">
        <f>G18</f>
        <v>30</v>
      </c>
      <c r="J15" s="10">
        <v>2.1</v>
      </c>
      <c r="K15" s="10">
        <f>I15+J17</f>
        <v>50</v>
      </c>
      <c r="Q15" s="10">
        <f>O18</f>
        <v>93</v>
      </c>
      <c r="R15" s="10" t="s">
        <v>117</v>
      </c>
      <c r="S15" s="10">
        <f>Q15+R17</f>
        <v>135</v>
      </c>
      <c r="AC15" s="10">
        <f>AA18</f>
        <v>325</v>
      </c>
      <c r="AD15" s="10" t="s">
        <v>118</v>
      </c>
      <c r="AE15" s="10">
        <f>AC15+AD17</f>
        <v>409</v>
      </c>
      <c r="AK15" s="10">
        <f>AM15-AL15</f>
        <v>1988</v>
      </c>
      <c r="AL15" s="10">
        <v>105</v>
      </c>
      <c r="AM15" s="10">
        <f>AO20</f>
        <v>2093</v>
      </c>
    </row>
    <row r="16" spans="1:39">
      <c r="I16" s="10">
        <f>I17-I15</f>
        <v>1510</v>
      </c>
      <c r="J16" s="139" t="s">
        <v>119</v>
      </c>
      <c r="K16" s="143"/>
      <c r="Q16" s="10">
        <f>Q17-Q15</f>
        <v>1515</v>
      </c>
      <c r="R16" s="115" t="s">
        <v>120</v>
      </c>
      <c r="S16" s="116"/>
      <c r="AC16" s="10">
        <f>AC17-AC15</f>
        <v>1509</v>
      </c>
      <c r="AD16" s="115" t="s">
        <v>121</v>
      </c>
      <c r="AE16" s="116"/>
    </row>
    <row r="17" spans="1:55">
      <c r="I17" s="10">
        <v>1540</v>
      </c>
      <c r="J17" s="10">
        <v>20</v>
      </c>
      <c r="K17" s="10">
        <f>M20</f>
        <v>1560</v>
      </c>
      <c r="Q17" s="10">
        <f>S17-R17</f>
        <v>1608</v>
      </c>
      <c r="R17" s="29">
        <v>42</v>
      </c>
      <c r="S17" s="10">
        <f>U20</f>
        <v>1650</v>
      </c>
      <c r="AC17" s="10">
        <f>AE17-AD17</f>
        <v>1834</v>
      </c>
      <c r="AD17" s="10">
        <v>84</v>
      </c>
      <c r="AE17" s="10">
        <f>AG20</f>
        <v>1918</v>
      </c>
      <c r="AK17" s="10">
        <f>AI18</f>
        <v>479</v>
      </c>
      <c r="AL17" s="10" t="s">
        <v>122</v>
      </c>
      <c r="AM17" s="10">
        <f>AK17+AL19</f>
        <v>549</v>
      </c>
    </row>
    <row r="18" spans="1:55">
      <c r="A18" s="10">
        <v>0</v>
      </c>
      <c r="B18" s="10">
        <v>1.1000000000000001</v>
      </c>
      <c r="C18" s="10">
        <f>A18+B20</f>
        <v>10</v>
      </c>
      <c r="E18" s="10">
        <f>C18+D20</f>
        <v>10</v>
      </c>
      <c r="F18" s="10">
        <v>1.2</v>
      </c>
      <c r="G18" s="10">
        <f>E18+F20</f>
        <v>30</v>
      </c>
      <c r="M18" s="10">
        <f>K21</f>
        <v>51</v>
      </c>
      <c r="N18" s="10" t="s">
        <v>123</v>
      </c>
      <c r="O18" s="10">
        <f>M18+N20</f>
        <v>93</v>
      </c>
      <c r="U18" s="10">
        <f>S23</f>
        <v>141</v>
      </c>
      <c r="V18" s="10">
        <v>4.0999999999999996</v>
      </c>
      <c r="W18" s="10">
        <f>U18+V20</f>
        <v>241</v>
      </c>
      <c r="Y18" s="10">
        <f>W18</f>
        <v>241</v>
      </c>
      <c r="Z18" s="10">
        <v>4.2</v>
      </c>
      <c r="AA18" s="10">
        <f>Y18+Z20</f>
        <v>325</v>
      </c>
      <c r="AG18" s="10">
        <f>AE15</f>
        <v>409</v>
      </c>
      <c r="AH18" s="10" t="s">
        <v>124</v>
      </c>
      <c r="AI18" s="10">
        <f>AG18+AH20</f>
        <v>479</v>
      </c>
      <c r="AK18" s="10">
        <f>AK19-AK17</f>
        <v>1544</v>
      </c>
      <c r="AL18" s="115" t="s">
        <v>125</v>
      </c>
      <c r="AM18" s="116"/>
      <c r="AO18" s="10">
        <f>AM13</f>
        <v>584</v>
      </c>
      <c r="AP18" s="22" t="s">
        <v>126</v>
      </c>
      <c r="AQ18" s="10">
        <f>AO18+AP20</f>
        <v>612</v>
      </c>
      <c r="AS18" s="10">
        <f>AQ18</f>
        <v>612</v>
      </c>
      <c r="AT18" s="10" t="s">
        <v>127</v>
      </c>
      <c r="AU18" s="10">
        <f>AS18+AT20</f>
        <v>640</v>
      </c>
      <c r="AW18" s="10">
        <f>AU18</f>
        <v>640</v>
      </c>
      <c r="AX18" s="10" t="s">
        <v>128</v>
      </c>
      <c r="AY18" s="10">
        <f>AW18+AX20</f>
        <v>668</v>
      </c>
      <c r="BA18" s="10">
        <f>AY18</f>
        <v>668</v>
      </c>
      <c r="BB18" s="10" t="s">
        <v>129</v>
      </c>
      <c r="BC18" s="10">
        <f>BA18+BB20</f>
        <v>682</v>
      </c>
    </row>
    <row r="19" spans="1:55">
      <c r="A19" s="10">
        <f>A20-A18</f>
        <v>1509</v>
      </c>
      <c r="B19" s="139" t="s">
        <v>130</v>
      </c>
      <c r="C19" s="143"/>
      <c r="E19" s="10">
        <f>E20-E18</f>
        <v>1509</v>
      </c>
      <c r="F19" s="139" t="s">
        <v>131</v>
      </c>
      <c r="G19" s="143"/>
      <c r="M19" s="10">
        <f>M20-M18</f>
        <v>1509</v>
      </c>
      <c r="N19" s="115" t="s">
        <v>132</v>
      </c>
      <c r="O19" s="116"/>
      <c r="Q19" s="10">
        <f>O18</f>
        <v>93</v>
      </c>
      <c r="R19" s="10" t="s">
        <v>133</v>
      </c>
      <c r="S19" s="10">
        <f>Q19+R21</f>
        <v>121</v>
      </c>
      <c r="U19" s="10">
        <f>U20-U18</f>
        <v>1509</v>
      </c>
      <c r="V19" s="115" t="s">
        <v>134</v>
      </c>
      <c r="W19" s="116"/>
      <c r="Y19" s="10">
        <f>Y20-Y18</f>
        <v>1509</v>
      </c>
      <c r="Z19" s="115" t="s">
        <v>135</v>
      </c>
      <c r="AA19" s="116"/>
      <c r="AG19" s="10">
        <f>AG20-AG18</f>
        <v>1509</v>
      </c>
      <c r="AH19" s="115" t="s">
        <v>136</v>
      </c>
      <c r="AI19" s="116"/>
      <c r="AK19" s="10">
        <f>AM19-AL19</f>
        <v>2023</v>
      </c>
      <c r="AL19" s="10">
        <v>70</v>
      </c>
      <c r="AM19" s="10">
        <f>AO20</f>
        <v>2093</v>
      </c>
      <c r="AO19" s="10">
        <f>AO20-AO18</f>
        <v>1509</v>
      </c>
      <c r="AP19" s="117" t="s">
        <v>137</v>
      </c>
      <c r="AQ19" s="117"/>
      <c r="AS19" s="10">
        <f>AS20-AS18</f>
        <v>1509</v>
      </c>
      <c r="AT19" s="115" t="s">
        <v>138</v>
      </c>
      <c r="AU19" s="116"/>
      <c r="AW19" s="10">
        <f>AW20-AW18</f>
        <v>1509</v>
      </c>
      <c r="AX19" s="115" t="s">
        <v>139</v>
      </c>
      <c r="AY19" s="116"/>
      <c r="BA19" s="10">
        <f>BA20-BA18</f>
        <v>1509</v>
      </c>
      <c r="BB19" s="115" t="s">
        <v>140</v>
      </c>
      <c r="BC19" s="116"/>
    </row>
    <row r="20" spans="1:55">
      <c r="A20" s="10">
        <f>C20-B20</f>
        <v>1509</v>
      </c>
      <c r="B20" s="10">
        <v>10</v>
      </c>
      <c r="C20" s="10">
        <f>E20</f>
        <v>1519</v>
      </c>
      <c r="E20" s="10">
        <f>G20-F20</f>
        <v>1519</v>
      </c>
      <c r="F20" s="10">
        <v>20</v>
      </c>
      <c r="G20" s="10">
        <f>I23</f>
        <v>1539</v>
      </c>
      <c r="M20" s="10">
        <f>O20-N20</f>
        <v>1560</v>
      </c>
      <c r="N20" s="10">
        <v>42</v>
      </c>
      <c r="O20" s="10">
        <f>Q25</f>
        <v>1602</v>
      </c>
      <c r="Q20" s="10">
        <f>Q21-Q19</f>
        <v>1529</v>
      </c>
      <c r="R20" s="115" t="s">
        <v>141</v>
      </c>
      <c r="S20" s="116"/>
      <c r="U20" s="10">
        <f>W20-V20</f>
        <v>1650</v>
      </c>
      <c r="V20" s="10">
        <v>100</v>
      </c>
      <c r="W20" s="10">
        <f>Y20</f>
        <v>1750</v>
      </c>
      <c r="Y20" s="10">
        <f>AA20-Z20</f>
        <v>1750</v>
      </c>
      <c r="Z20" s="10">
        <v>84</v>
      </c>
      <c r="AA20" s="10">
        <f>AC17</f>
        <v>1834</v>
      </c>
      <c r="AC20" s="10">
        <f>AA18</f>
        <v>325</v>
      </c>
      <c r="AD20" s="10" t="s">
        <v>142</v>
      </c>
      <c r="AE20" s="10">
        <f>AC20+AD22</f>
        <v>409</v>
      </c>
      <c r="AG20" s="10">
        <f>AI20-AH20</f>
        <v>1918</v>
      </c>
      <c r="AH20" s="10">
        <v>70</v>
      </c>
      <c r="AI20" s="10">
        <f>AK15</f>
        <v>1988</v>
      </c>
      <c r="AO20" s="10">
        <f>AQ20-AP20</f>
        <v>2093</v>
      </c>
      <c r="AP20" s="23">
        <v>28</v>
      </c>
      <c r="AQ20" s="10">
        <f>AS20</f>
        <v>2121</v>
      </c>
      <c r="AS20" s="10">
        <f>AU20-AT20</f>
        <v>2121</v>
      </c>
      <c r="AT20" s="10">
        <v>28</v>
      </c>
      <c r="AU20" s="10">
        <f>AW20</f>
        <v>2149</v>
      </c>
      <c r="AW20" s="10">
        <f>AY20-AX20</f>
        <v>2149</v>
      </c>
      <c r="AX20" s="10">
        <v>28</v>
      </c>
      <c r="AY20" s="10">
        <f>BA20</f>
        <v>2177</v>
      </c>
      <c r="BA20" s="10">
        <f>BC20-BB20</f>
        <v>2177</v>
      </c>
      <c r="BB20" s="10">
        <v>14</v>
      </c>
      <c r="BC20" s="10">
        <v>2191</v>
      </c>
    </row>
    <row r="21" spans="1:55">
      <c r="I21" s="10">
        <f>G18</f>
        <v>30</v>
      </c>
      <c r="J21" s="10">
        <v>2.2000000000000002</v>
      </c>
      <c r="K21" s="10">
        <f>I21+J23</f>
        <v>51</v>
      </c>
      <c r="Q21" s="10">
        <f>S21-R21</f>
        <v>1622</v>
      </c>
      <c r="R21" s="10">
        <v>28</v>
      </c>
      <c r="S21" s="10">
        <f>U20</f>
        <v>1650</v>
      </c>
      <c r="AC21" s="10">
        <f>AC22-AC20</f>
        <v>1509</v>
      </c>
      <c r="AD21" s="115" t="s">
        <v>143</v>
      </c>
      <c r="AE21" s="116"/>
      <c r="AK21" s="10">
        <f>AI18</f>
        <v>479</v>
      </c>
      <c r="AL21" s="10" t="s">
        <v>144</v>
      </c>
      <c r="AM21" s="10">
        <f>AK21+AL23</f>
        <v>549</v>
      </c>
    </row>
    <row r="22" spans="1:55">
      <c r="I22" s="10">
        <f>I23-I21</f>
        <v>1509</v>
      </c>
      <c r="J22" s="139" t="s">
        <v>145</v>
      </c>
      <c r="K22" s="143"/>
      <c r="AC22" s="10">
        <f>AE22-AD22</f>
        <v>1834</v>
      </c>
      <c r="AD22" s="10">
        <v>84</v>
      </c>
      <c r="AE22" s="10">
        <f>AG20</f>
        <v>1918</v>
      </c>
      <c r="AK22" s="10">
        <f>AK23-AK21</f>
        <v>1544</v>
      </c>
      <c r="AL22" s="115" t="s">
        <v>146</v>
      </c>
      <c r="AM22" s="116"/>
    </row>
    <row r="23" spans="1:55">
      <c r="I23" s="10">
        <f>K23-J23</f>
        <v>1539</v>
      </c>
      <c r="J23" s="10">
        <v>21</v>
      </c>
      <c r="K23" s="10">
        <f>M20</f>
        <v>1560</v>
      </c>
      <c r="Q23" s="10">
        <f>O18</f>
        <v>93</v>
      </c>
      <c r="R23" s="10" t="s">
        <v>147</v>
      </c>
      <c r="S23" s="10">
        <f>Q23+R25</f>
        <v>141</v>
      </c>
      <c r="AK23" s="10">
        <f>AM23-AL23</f>
        <v>2023</v>
      </c>
      <c r="AL23" s="10">
        <v>70</v>
      </c>
      <c r="AM23" s="10">
        <f>AO20</f>
        <v>2093</v>
      </c>
    </row>
    <row r="24" spans="1:55">
      <c r="Q24" s="10">
        <f>Q25-Q23</f>
        <v>1509</v>
      </c>
      <c r="R24" s="115" t="s">
        <v>148</v>
      </c>
      <c r="S24" s="116"/>
      <c r="AC24" s="10">
        <f>AA18</f>
        <v>325</v>
      </c>
      <c r="AD24" s="10" t="s">
        <v>149</v>
      </c>
      <c r="AE24" s="10">
        <f>AC24+AD26</f>
        <v>370</v>
      </c>
    </row>
    <row r="25" spans="1:55">
      <c r="Q25" s="10">
        <f>S25-R25</f>
        <v>1602</v>
      </c>
      <c r="R25" s="10">
        <v>48</v>
      </c>
      <c r="S25" s="10">
        <f>U20</f>
        <v>1650</v>
      </c>
      <c r="AC25" s="10">
        <f>AC26-AC24</f>
        <v>1548</v>
      </c>
      <c r="AD25" s="115" t="s">
        <v>150</v>
      </c>
      <c r="AE25" s="116"/>
    </row>
    <row r="26" spans="1:55">
      <c r="AC26" s="10">
        <f>AE26-AD26</f>
        <v>1873</v>
      </c>
      <c r="AD26" s="10">
        <v>45</v>
      </c>
      <c r="AE26" s="10">
        <f>AG20</f>
        <v>1918</v>
      </c>
    </row>
    <row r="27" spans="1:55">
      <c r="Q27" s="10">
        <f>O18</f>
        <v>93</v>
      </c>
      <c r="R27" s="10" t="s">
        <v>151</v>
      </c>
      <c r="S27" s="10">
        <f>Q27+R29</f>
        <v>135</v>
      </c>
    </row>
    <row r="28" spans="1:55">
      <c r="Q28" s="10">
        <f>Q29-Q27</f>
        <v>1515</v>
      </c>
      <c r="R28" s="115" t="s">
        <v>152</v>
      </c>
      <c r="S28" s="116"/>
    </row>
    <row r="29" spans="1:55">
      <c r="Q29" s="10">
        <f>S29-R29</f>
        <v>1608</v>
      </c>
      <c r="R29" s="10">
        <v>42</v>
      </c>
      <c r="S29" s="10">
        <f>U20</f>
        <v>1650</v>
      </c>
    </row>
    <row r="45" spans="13:47">
      <c r="M45" s="2"/>
      <c r="N45" s="2"/>
      <c r="O45" s="2"/>
      <c r="Y45" s="2"/>
      <c r="Z45" s="2"/>
      <c r="AA45" s="2"/>
      <c r="AC45" s="2"/>
      <c r="AD45" s="2"/>
      <c r="AE45" s="2"/>
      <c r="AG45" s="2"/>
      <c r="AH45" s="2"/>
      <c r="AI45" s="2"/>
    </row>
    <row r="46" spans="13:47">
      <c r="M46" s="2"/>
      <c r="N46" s="144"/>
      <c r="O46" s="144"/>
      <c r="Y46" s="2"/>
      <c r="Z46" s="144"/>
      <c r="AA46" s="144"/>
      <c r="AC46" s="2"/>
      <c r="AD46" s="11"/>
      <c r="AE46" s="11"/>
      <c r="AG46" s="2"/>
      <c r="AH46" s="144"/>
      <c r="AI46" s="144"/>
    </row>
    <row r="47" spans="13:47">
      <c r="M47" s="2"/>
      <c r="N47" s="2"/>
      <c r="O47" s="2"/>
      <c r="Y47" s="2"/>
      <c r="Z47" s="2"/>
      <c r="AA47" s="2"/>
      <c r="AC47" s="2"/>
      <c r="AD47" s="2"/>
      <c r="AE47" s="2"/>
      <c r="AG47" s="2"/>
      <c r="AH47" s="2"/>
      <c r="AI47" s="2"/>
      <c r="AO47" s="26"/>
      <c r="AP47" s="26"/>
      <c r="AQ47" s="26"/>
      <c r="AR47" s="26"/>
      <c r="AS47" s="26"/>
      <c r="AT47" s="26"/>
      <c r="AU47" s="26"/>
    </row>
    <row r="48" spans="13:47">
      <c r="AO48" s="26"/>
      <c r="AP48" s="26"/>
      <c r="AQ48" s="26"/>
      <c r="AR48" s="26"/>
      <c r="AS48" s="27"/>
      <c r="AT48" s="27"/>
      <c r="AU48" s="27"/>
    </row>
    <row r="49" spans="1:67">
      <c r="H49" s="2"/>
      <c r="M49" s="2"/>
      <c r="N49" s="2"/>
      <c r="O49" s="2"/>
      <c r="Y49" s="2"/>
      <c r="Z49" s="2"/>
      <c r="AA49" s="2"/>
      <c r="AO49" s="26"/>
      <c r="AP49" s="26"/>
      <c r="AQ49" s="26"/>
      <c r="AR49" s="26"/>
      <c r="AS49" s="27"/>
      <c r="AT49" s="28"/>
      <c r="AU49" s="28"/>
    </row>
    <row r="50" spans="1:67">
      <c r="M50" s="2"/>
      <c r="N50" s="144"/>
      <c r="O50" s="144"/>
      <c r="Y50" s="2"/>
      <c r="Z50" s="144"/>
      <c r="AA50" s="144"/>
      <c r="AO50" s="26"/>
      <c r="AP50" s="26"/>
      <c r="AQ50" s="26"/>
      <c r="AR50" s="26"/>
      <c r="AS50" s="27"/>
      <c r="AT50" s="27"/>
      <c r="AU50" s="27"/>
    </row>
    <row r="51" spans="1:67">
      <c r="M51" s="2"/>
      <c r="N51" s="2"/>
      <c r="O51" s="2"/>
      <c r="Y51" s="2"/>
      <c r="Z51" s="2"/>
      <c r="AA51" s="2"/>
      <c r="AO51" s="26"/>
      <c r="AP51" s="26"/>
      <c r="AQ51" s="26"/>
      <c r="AR51" s="26"/>
      <c r="AS51" s="26"/>
      <c r="AT51" s="26"/>
      <c r="AU51" s="26"/>
    </row>
    <row r="52" spans="1:67">
      <c r="AO52" s="26"/>
      <c r="AP52" s="26"/>
      <c r="AQ52" s="26"/>
      <c r="AR52" s="26"/>
      <c r="AS52" s="27"/>
      <c r="AT52" s="27"/>
      <c r="AU52" s="27"/>
    </row>
    <row r="53" spans="1:67">
      <c r="E53" s="2"/>
      <c r="F53" s="2"/>
      <c r="G53" s="2"/>
      <c r="M53" s="2"/>
      <c r="N53" s="2"/>
      <c r="O53" s="2"/>
      <c r="Y53" s="27"/>
      <c r="Z53" s="27"/>
      <c r="AA53" s="27"/>
      <c r="AO53" s="26"/>
      <c r="AP53" s="26"/>
      <c r="AQ53" s="26"/>
      <c r="AR53" s="26"/>
      <c r="AS53" s="27"/>
      <c r="AT53" s="28"/>
      <c r="AU53" s="28"/>
      <c r="BE53" s="2"/>
      <c r="BF53" s="2"/>
      <c r="BG53" s="2"/>
    </row>
    <row r="54" spans="1:67">
      <c r="E54" s="2"/>
      <c r="F54" s="144"/>
      <c r="G54" s="144"/>
      <c r="M54" s="2"/>
      <c r="N54" s="144"/>
      <c r="O54" s="144"/>
      <c r="Y54" s="27"/>
      <c r="Z54" s="145"/>
      <c r="AA54" s="145"/>
      <c r="AG54" s="2"/>
      <c r="AH54" s="2"/>
      <c r="AI54" s="2"/>
      <c r="AO54" s="27"/>
      <c r="AP54" s="27"/>
      <c r="AQ54" s="27"/>
      <c r="AR54" s="26"/>
      <c r="AS54" s="27"/>
      <c r="AT54" s="27"/>
      <c r="AU54" s="27"/>
      <c r="BE54" s="2"/>
      <c r="BF54" s="144"/>
      <c r="BG54" s="144"/>
    </row>
    <row r="55" spans="1:67">
      <c r="E55" s="2"/>
      <c r="F55" s="2"/>
      <c r="G55" s="2"/>
      <c r="M55" s="2"/>
      <c r="N55" s="2"/>
      <c r="O55" s="2"/>
      <c r="Y55" s="27"/>
      <c r="Z55" s="27"/>
      <c r="AA55" s="27"/>
      <c r="AC55" s="2"/>
      <c r="AD55" s="2"/>
      <c r="AE55" s="2"/>
      <c r="AG55" s="2"/>
      <c r="AH55" s="11"/>
      <c r="AI55" s="11"/>
      <c r="AO55" s="27"/>
      <c r="AP55" s="145"/>
      <c r="AQ55" s="145"/>
      <c r="AR55" s="26"/>
      <c r="AS55" s="26"/>
      <c r="AT55" s="26"/>
      <c r="AU55" s="26"/>
      <c r="AW55" s="2"/>
      <c r="AX55" s="2"/>
      <c r="AY55" s="2"/>
      <c r="BA55" s="2"/>
      <c r="BB55" s="2"/>
      <c r="BC55" s="2"/>
      <c r="BE55" s="2"/>
      <c r="BF55" s="2"/>
      <c r="BG55" s="2"/>
      <c r="BI55" s="2"/>
      <c r="BJ55" s="2"/>
      <c r="BK55" s="2"/>
      <c r="BM55" s="2"/>
      <c r="BN55" s="2"/>
      <c r="BO55" s="2"/>
    </row>
    <row r="56" spans="1:67">
      <c r="A56" s="2"/>
      <c r="B56" s="2"/>
      <c r="C56" s="2"/>
      <c r="I56" s="2"/>
      <c r="J56" s="2"/>
      <c r="K56" s="2"/>
      <c r="Q56" s="2"/>
      <c r="R56" s="25"/>
      <c r="S56" s="2"/>
      <c r="U56" s="2"/>
      <c r="V56" s="2"/>
      <c r="W56" s="2"/>
      <c r="AC56" s="2"/>
      <c r="AD56" s="144"/>
      <c r="AE56" s="144"/>
      <c r="AG56" s="2"/>
      <c r="AH56" s="2"/>
      <c r="AI56" s="2"/>
      <c r="AO56" s="27"/>
      <c r="AP56" s="27"/>
      <c r="AQ56" s="27"/>
      <c r="AR56" s="26"/>
      <c r="AS56" s="26"/>
      <c r="AT56" s="26"/>
      <c r="AU56" s="26"/>
      <c r="AW56" s="2"/>
      <c r="AX56" s="144"/>
      <c r="AY56" s="144"/>
      <c r="BA56" s="2"/>
      <c r="BB56" s="144"/>
      <c r="BC56" s="144"/>
      <c r="BI56" s="2"/>
      <c r="BJ56" s="144"/>
      <c r="BK56" s="144"/>
      <c r="BM56" s="2"/>
      <c r="BN56" s="144"/>
      <c r="BO56" s="144"/>
    </row>
    <row r="57" spans="1:67">
      <c r="A57" s="2"/>
      <c r="B57" s="11"/>
      <c r="C57" s="11"/>
      <c r="I57" s="2"/>
      <c r="J57" s="144"/>
      <c r="K57" s="144"/>
      <c r="Q57" s="2"/>
      <c r="R57" s="144"/>
      <c r="S57" s="144"/>
      <c r="U57" s="2"/>
      <c r="V57" s="144"/>
      <c r="W57" s="144"/>
      <c r="AC57" s="2"/>
      <c r="AD57" s="2"/>
      <c r="AE57" s="2"/>
      <c r="AK57" s="2"/>
      <c r="AL57" s="2"/>
      <c r="AM57" s="2"/>
      <c r="AO57" s="26"/>
      <c r="AP57" s="26"/>
      <c r="AQ57" s="26"/>
      <c r="AR57" s="26"/>
      <c r="AS57" s="27"/>
      <c r="AT57" s="27"/>
      <c r="AU57" s="27"/>
      <c r="AW57" s="2"/>
      <c r="AX57" s="2"/>
      <c r="AY57" s="2"/>
      <c r="BA57" s="2"/>
      <c r="BB57" s="2"/>
      <c r="BC57" s="2"/>
      <c r="BE57" s="2"/>
      <c r="BF57" s="2"/>
      <c r="BG57" s="2"/>
      <c r="BI57" s="2"/>
      <c r="BJ57" s="2"/>
      <c r="BK57" s="2"/>
      <c r="BM57" s="2"/>
      <c r="BN57" s="2"/>
      <c r="BO57" s="2"/>
    </row>
    <row r="58" spans="1:67">
      <c r="A58" s="2"/>
      <c r="B58" s="2"/>
      <c r="C58" s="2"/>
      <c r="E58" s="2"/>
      <c r="F58" s="2"/>
      <c r="G58" s="2"/>
      <c r="I58" s="2"/>
      <c r="J58" s="2"/>
      <c r="K58" s="2"/>
      <c r="M58" s="2"/>
      <c r="N58" s="25"/>
      <c r="O58" s="2"/>
      <c r="Q58" s="2"/>
      <c r="R58" s="2"/>
      <c r="S58" s="2"/>
      <c r="U58" s="2"/>
      <c r="V58" s="2"/>
      <c r="W58" s="2"/>
      <c r="Y58" s="2"/>
      <c r="Z58" s="2"/>
      <c r="AA58" s="2"/>
      <c r="AG58" s="2"/>
      <c r="AH58" s="2"/>
      <c r="AI58" s="2"/>
      <c r="AK58" s="2"/>
      <c r="AL58" s="11"/>
      <c r="AM58" s="11"/>
      <c r="AO58" s="26"/>
      <c r="AP58" s="26"/>
      <c r="AQ58" s="26"/>
      <c r="AR58" s="26"/>
      <c r="AS58" s="27"/>
      <c r="AT58" s="145"/>
      <c r="AU58" s="145"/>
      <c r="BE58" s="2"/>
      <c r="BF58" s="144"/>
      <c r="BG58" s="144"/>
    </row>
    <row r="59" spans="1:67">
      <c r="E59" s="2"/>
      <c r="F59" s="144"/>
      <c r="G59" s="144"/>
      <c r="M59" s="2"/>
      <c r="N59" s="11"/>
      <c r="O59" s="11"/>
      <c r="Y59" s="2"/>
      <c r="Z59" s="144"/>
      <c r="AA59" s="144"/>
      <c r="AG59" s="2"/>
      <c r="AH59" s="11"/>
      <c r="AI59" s="11"/>
      <c r="AK59" s="2"/>
      <c r="AL59" s="2"/>
      <c r="AM59" s="2"/>
      <c r="AO59" s="27"/>
      <c r="AP59" s="27"/>
      <c r="AQ59" s="27"/>
      <c r="AR59" s="26"/>
      <c r="AS59" s="27"/>
      <c r="AT59" s="27"/>
      <c r="AU59" s="27"/>
      <c r="BE59" s="2"/>
      <c r="BF59" s="2"/>
      <c r="BG59" s="2"/>
    </row>
    <row r="60" spans="1:67">
      <c r="E60" s="2"/>
      <c r="F60" s="2"/>
      <c r="G60" s="2"/>
      <c r="M60" s="2"/>
      <c r="N60" s="2"/>
      <c r="O60" s="2"/>
      <c r="Y60" s="2"/>
      <c r="Z60" s="2"/>
      <c r="AA60" s="2"/>
      <c r="AG60" s="2"/>
      <c r="AH60" s="2"/>
      <c r="AI60" s="2"/>
      <c r="AO60" s="27"/>
      <c r="AP60" s="145"/>
      <c r="AQ60" s="145"/>
      <c r="AR60" s="26"/>
      <c r="AS60" s="26"/>
      <c r="AT60" s="26"/>
      <c r="AU60" s="26"/>
    </row>
    <row r="61" spans="1:67">
      <c r="AO61" s="27"/>
      <c r="AP61" s="27"/>
      <c r="AQ61" s="27"/>
      <c r="AR61" s="26"/>
      <c r="AS61" s="27"/>
      <c r="AT61" s="27"/>
      <c r="AU61" s="27"/>
    </row>
    <row r="62" spans="1:67">
      <c r="M62" s="2"/>
      <c r="N62" s="2"/>
      <c r="O62" s="2"/>
      <c r="Y62" s="2"/>
      <c r="Z62" s="2"/>
      <c r="AA62" s="2"/>
      <c r="AG62" s="27"/>
      <c r="AH62" s="27"/>
      <c r="AI62" s="27"/>
      <c r="AO62" s="26"/>
      <c r="AP62" s="26"/>
      <c r="AQ62" s="26"/>
      <c r="AR62" s="26"/>
      <c r="AS62" s="27"/>
      <c r="AT62" s="145"/>
      <c r="AU62" s="145"/>
    </row>
    <row r="63" spans="1:67">
      <c r="M63" s="2"/>
      <c r="N63" s="144"/>
      <c r="O63" s="144"/>
      <c r="Y63" s="2"/>
      <c r="Z63" s="144"/>
      <c r="AA63" s="144"/>
      <c r="AG63" s="27"/>
      <c r="AH63" s="145"/>
      <c r="AI63" s="145"/>
      <c r="AO63" s="26"/>
      <c r="AP63" s="26"/>
      <c r="AQ63" s="26"/>
      <c r="AR63" s="26"/>
      <c r="AS63" s="27"/>
      <c r="AT63" s="27"/>
      <c r="AU63" s="27"/>
    </row>
    <row r="64" spans="1:67">
      <c r="M64" s="2"/>
      <c r="N64" s="2"/>
      <c r="O64" s="2"/>
      <c r="Y64" s="2"/>
      <c r="Z64" s="2"/>
      <c r="AA64" s="2"/>
      <c r="AG64" s="27"/>
      <c r="AH64" s="27"/>
      <c r="AI64" s="27"/>
    </row>
    <row r="65" spans="13:50">
      <c r="AX65" s="11"/>
    </row>
    <row r="66" spans="13:50">
      <c r="M66" s="2"/>
      <c r="N66" s="2"/>
      <c r="O66" s="2"/>
      <c r="Y66" s="2"/>
      <c r="Z66" s="2"/>
      <c r="AA66" s="2"/>
    </row>
    <row r="67" spans="13:50">
      <c r="M67" s="2"/>
      <c r="N67" s="144"/>
      <c r="O67" s="144"/>
      <c r="Y67" s="2"/>
      <c r="Z67" s="144"/>
      <c r="AA67" s="144"/>
    </row>
    <row r="68" spans="13:50">
      <c r="M68" s="2"/>
      <c r="N68" s="2"/>
      <c r="O68" s="2"/>
      <c r="Y68" s="2"/>
      <c r="Z68" s="2"/>
      <c r="AA68" s="2"/>
    </row>
    <row r="70" spans="13:50">
      <c r="Y70" s="24"/>
      <c r="Z70" s="24"/>
      <c r="AA70" s="24"/>
    </row>
    <row r="71" spans="13:50">
      <c r="Y71" s="24"/>
      <c r="Z71" s="146"/>
      <c r="AA71" s="146"/>
    </row>
    <row r="72" spans="13:50">
      <c r="Y72" s="24"/>
      <c r="Z72" s="24"/>
      <c r="AA72" s="24"/>
    </row>
    <row r="74" spans="13:50">
      <c r="Y74" s="2"/>
      <c r="Z74" s="2"/>
      <c r="AA74" s="2"/>
    </row>
    <row r="75" spans="13:50">
      <c r="Y75" s="2"/>
      <c r="Z75" s="144"/>
      <c r="AA75" s="144"/>
    </row>
    <row r="76" spans="13:50">
      <c r="Y76" s="2"/>
      <c r="Z76" s="2"/>
      <c r="AA76" s="2"/>
    </row>
    <row r="78" spans="13:50">
      <c r="Y78" s="2"/>
      <c r="Z78" s="2"/>
      <c r="AA78" s="2"/>
    </row>
    <row r="79" spans="13:50">
      <c r="Y79" s="2"/>
      <c r="Z79" s="144"/>
      <c r="AA79" s="144"/>
    </row>
    <row r="80" spans="13:50">
      <c r="Y80" s="2"/>
      <c r="Z80" s="2"/>
      <c r="AA80" s="2"/>
    </row>
    <row r="82" spans="25:27">
      <c r="Y82" s="2"/>
      <c r="Z82" s="2"/>
      <c r="AA82" s="2"/>
    </row>
    <row r="83" spans="25:27">
      <c r="Y83" s="2"/>
      <c r="Z83" s="144"/>
      <c r="AA83" s="144"/>
    </row>
    <row r="84" spans="25:27">
      <c r="Y84" s="2"/>
      <c r="Z84" s="2"/>
      <c r="AA84" s="2"/>
    </row>
  </sheetData>
  <mergeCells count="69">
    <mergeCell ref="R57:S57"/>
    <mergeCell ref="N46:O46"/>
    <mergeCell ref="N67:O67"/>
    <mergeCell ref="N54:O54"/>
    <mergeCell ref="F59:G59"/>
    <mergeCell ref="J57:K57"/>
    <mergeCell ref="N63:O63"/>
    <mergeCell ref="V57:W57"/>
    <mergeCell ref="A1:C1"/>
    <mergeCell ref="F54:G54"/>
    <mergeCell ref="N19:O19"/>
    <mergeCell ref="R8:S8"/>
    <mergeCell ref="R12:S12"/>
    <mergeCell ref="R16:S16"/>
    <mergeCell ref="R20:S20"/>
    <mergeCell ref="E4:F4"/>
    <mergeCell ref="B19:C19"/>
    <mergeCell ref="F19:G19"/>
    <mergeCell ref="J16:K16"/>
    <mergeCell ref="J22:K22"/>
    <mergeCell ref="N50:O50"/>
    <mergeCell ref="E1:F1"/>
    <mergeCell ref="E5:F5"/>
    <mergeCell ref="Z46:AA46"/>
    <mergeCell ref="Z50:AA50"/>
    <mergeCell ref="Z75:AA75"/>
    <mergeCell ref="Z79:AA79"/>
    <mergeCell ref="Z83:AA83"/>
    <mergeCell ref="Z59:AA59"/>
    <mergeCell ref="Z63:AA63"/>
    <mergeCell ref="Z67:AA67"/>
    <mergeCell ref="Z54:AA54"/>
    <mergeCell ref="Z71:AA71"/>
    <mergeCell ref="AD56:AE56"/>
    <mergeCell ref="AH46:AI46"/>
    <mergeCell ref="AP60:AQ60"/>
    <mergeCell ref="AT58:AU58"/>
    <mergeCell ref="AP55:AQ55"/>
    <mergeCell ref="BN56:BO56"/>
    <mergeCell ref="BJ56:BK56"/>
    <mergeCell ref="AH63:AI63"/>
    <mergeCell ref="AT62:AU62"/>
    <mergeCell ref="BF54:BG54"/>
    <mergeCell ref="BF58:BG58"/>
    <mergeCell ref="AX56:AY56"/>
    <mergeCell ref="BB56:BC56"/>
    <mergeCell ref="AL22:AM22"/>
    <mergeCell ref="AP19:AQ19"/>
    <mergeCell ref="R24:S24"/>
    <mergeCell ref="R28:S28"/>
    <mergeCell ref="V19:W19"/>
    <mergeCell ref="Z19:AA19"/>
    <mergeCell ref="AD21:AE21"/>
    <mergeCell ref="AD25:AE25"/>
    <mergeCell ref="G4:P4"/>
    <mergeCell ref="G5:P5"/>
    <mergeCell ref="AT19:AU19"/>
    <mergeCell ref="AX19:AY19"/>
    <mergeCell ref="BB19:BC19"/>
    <mergeCell ref="AH19:AI19"/>
    <mergeCell ref="AL14:AM14"/>
    <mergeCell ref="AL18:AM18"/>
    <mergeCell ref="AD12:AE12"/>
    <mergeCell ref="AD16:AE16"/>
    <mergeCell ref="B3:C3"/>
    <mergeCell ref="G2:P2"/>
    <mergeCell ref="G3:P3"/>
    <mergeCell ref="E2:F3"/>
    <mergeCell ref="G1:AA1"/>
  </mergeCells>
  <conditionalFormatting sqref="A1: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6CC5-E2FA-4F70-A49A-BA42B52C906A}">
  <dimension ref="A1:J26"/>
  <sheetViews>
    <sheetView workbookViewId="0">
      <selection activeCell="C12" sqref="C12"/>
    </sheetView>
  </sheetViews>
  <sheetFormatPr defaultRowHeight="15"/>
  <cols>
    <col min="1" max="1" width="9.140625" style="2"/>
    <col min="2" max="2" width="38" customWidth="1"/>
    <col min="3" max="3" width="20.7109375" customWidth="1"/>
    <col min="4" max="4" width="17.5703125" customWidth="1"/>
    <col min="5" max="5" width="62" bestFit="1" customWidth="1"/>
    <col min="6" max="6" width="22.28515625" customWidth="1"/>
    <col min="7" max="7" width="15.5703125" customWidth="1"/>
    <col min="9" max="9" width="9.140625" style="2"/>
  </cols>
  <sheetData>
    <row r="1" spans="1:10">
      <c r="A1" s="12" t="s">
        <v>96</v>
      </c>
      <c r="B1" s="11" t="s">
        <v>153</v>
      </c>
      <c r="C1" s="11" t="s">
        <v>154</v>
      </c>
      <c r="D1" s="11" t="s">
        <v>22</v>
      </c>
      <c r="E1" s="11" t="s">
        <v>155</v>
      </c>
      <c r="F1" s="46" t="s">
        <v>156</v>
      </c>
      <c r="G1" s="3">
        <v>2191</v>
      </c>
      <c r="J1" s="44"/>
    </row>
    <row r="2" spans="1:10" ht="16.5" customHeight="1">
      <c r="A2" s="2">
        <v>1.1000000000000001</v>
      </c>
      <c r="B2" s="9" t="s">
        <v>130</v>
      </c>
      <c r="C2" s="2">
        <v>10</v>
      </c>
      <c r="D2" s="13">
        <v>10000</v>
      </c>
      <c r="E2" t="s">
        <v>157</v>
      </c>
      <c r="J2" s="45"/>
    </row>
    <row r="3" spans="1:10" ht="15.75">
      <c r="A3" s="2">
        <v>1.2</v>
      </c>
      <c r="B3" s="9" t="s">
        <v>158</v>
      </c>
      <c r="C3" s="2">
        <v>20</v>
      </c>
      <c r="D3" s="13">
        <v>10000</v>
      </c>
      <c r="E3" t="s">
        <v>157</v>
      </c>
      <c r="J3" s="45"/>
    </row>
    <row r="4" spans="1:10" ht="15.75">
      <c r="A4" s="2">
        <v>2.1</v>
      </c>
      <c r="B4" s="9" t="s">
        <v>159</v>
      </c>
      <c r="C4" s="2">
        <v>20</v>
      </c>
      <c r="D4" s="13">
        <v>50000</v>
      </c>
      <c r="E4" t="s">
        <v>160</v>
      </c>
      <c r="J4" s="45"/>
    </row>
    <row r="5" spans="1:10" ht="15.75">
      <c r="A5" s="2">
        <v>2.2000000000000002</v>
      </c>
      <c r="B5" s="9" t="s">
        <v>161</v>
      </c>
      <c r="C5" s="2">
        <v>21</v>
      </c>
      <c r="D5" s="13">
        <v>75000</v>
      </c>
      <c r="E5" t="s">
        <v>162</v>
      </c>
      <c r="J5" s="45"/>
    </row>
    <row r="6" spans="1:10" ht="15.75">
      <c r="A6" s="2" t="s">
        <v>123</v>
      </c>
      <c r="B6" s="9" t="s">
        <v>163</v>
      </c>
      <c r="C6" s="2">
        <v>42</v>
      </c>
      <c r="D6" s="13">
        <v>30000</v>
      </c>
      <c r="E6" s="54" t="s">
        <v>164</v>
      </c>
      <c r="J6" s="45"/>
    </row>
    <row r="7" spans="1:10" ht="15.75">
      <c r="A7" s="2" t="s">
        <v>109</v>
      </c>
      <c r="B7" s="9" t="s">
        <v>165</v>
      </c>
      <c r="C7" s="2">
        <v>42</v>
      </c>
      <c r="D7" s="13">
        <v>30000</v>
      </c>
      <c r="E7" t="s">
        <v>166</v>
      </c>
      <c r="J7" s="45"/>
    </row>
    <row r="8" spans="1:10" ht="15.75">
      <c r="A8" s="2" t="s">
        <v>111</v>
      </c>
      <c r="B8" s="9" t="s">
        <v>167</v>
      </c>
      <c r="C8" s="2">
        <v>48</v>
      </c>
      <c r="D8" s="13">
        <v>200000</v>
      </c>
      <c r="E8" t="s">
        <v>168</v>
      </c>
      <c r="J8" s="45"/>
    </row>
    <row r="9" spans="1:10" ht="15.75">
      <c r="A9" s="2" t="s">
        <v>117</v>
      </c>
      <c r="B9" s="9" t="s">
        <v>169</v>
      </c>
      <c r="C9" s="2">
        <v>48</v>
      </c>
      <c r="D9" s="13">
        <v>300000</v>
      </c>
      <c r="E9" t="s">
        <v>168</v>
      </c>
      <c r="J9" s="45"/>
    </row>
    <row r="10" spans="1:10" ht="15.75">
      <c r="A10" s="2" t="s">
        <v>133</v>
      </c>
      <c r="B10" s="9" t="s">
        <v>170</v>
      </c>
      <c r="C10" s="2">
        <v>28</v>
      </c>
      <c r="D10" s="13">
        <v>40000</v>
      </c>
      <c r="E10" t="s">
        <v>171</v>
      </c>
      <c r="J10" s="45"/>
    </row>
    <row r="11" spans="1:10" ht="15.75">
      <c r="A11" s="2" t="s">
        <v>147</v>
      </c>
      <c r="B11" s="9" t="s">
        <v>172</v>
      </c>
      <c r="C11" s="2">
        <v>48</v>
      </c>
      <c r="D11" s="13">
        <v>150000</v>
      </c>
      <c r="E11" t="s">
        <v>171</v>
      </c>
      <c r="J11" s="45"/>
    </row>
    <row r="12" spans="1:10" ht="15.75">
      <c r="A12" s="2" t="s">
        <v>151</v>
      </c>
      <c r="B12" s="9" t="s">
        <v>173</v>
      </c>
      <c r="C12" s="2">
        <v>42</v>
      </c>
      <c r="D12" s="13">
        <v>120000</v>
      </c>
      <c r="E12" t="s">
        <v>174</v>
      </c>
      <c r="J12" s="45"/>
    </row>
    <row r="13" spans="1:10" ht="15.75">
      <c r="A13" s="2">
        <v>4.0999999999999996</v>
      </c>
      <c r="B13" s="9" t="s">
        <v>175</v>
      </c>
      <c r="C13" s="2">
        <v>100</v>
      </c>
      <c r="D13" s="13">
        <v>3000000</v>
      </c>
      <c r="E13" t="s">
        <v>174</v>
      </c>
      <c r="J13" s="45"/>
    </row>
    <row r="14" spans="1:10" ht="15.75">
      <c r="A14" s="2">
        <v>4.2</v>
      </c>
      <c r="B14" s="9" t="s">
        <v>176</v>
      </c>
      <c r="C14" s="2">
        <v>84</v>
      </c>
      <c r="D14" s="13">
        <v>2500000</v>
      </c>
      <c r="E14" t="s">
        <v>168</v>
      </c>
      <c r="J14" s="45"/>
    </row>
    <row r="15" spans="1:10" ht="15.75">
      <c r="A15" s="2" t="s">
        <v>112</v>
      </c>
      <c r="B15" s="9" t="s">
        <v>177</v>
      </c>
      <c r="C15" s="2">
        <v>56</v>
      </c>
      <c r="D15" s="13">
        <v>150000</v>
      </c>
      <c r="E15" s="54" t="s">
        <v>164</v>
      </c>
      <c r="J15" s="45"/>
    </row>
    <row r="16" spans="1:10" ht="15.75">
      <c r="A16" s="2" t="s">
        <v>118</v>
      </c>
      <c r="B16" s="9" t="s">
        <v>178</v>
      </c>
      <c r="C16" s="2">
        <v>84</v>
      </c>
      <c r="D16" s="13">
        <v>1200000</v>
      </c>
      <c r="E16" t="s">
        <v>179</v>
      </c>
      <c r="J16" s="45"/>
    </row>
    <row r="17" spans="1:10" ht="15.75">
      <c r="A17" s="2" t="s">
        <v>142</v>
      </c>
      <c r="B17" s="9" t="s">
        <v>180</v>
      </c>
      <c r="C17" s="2">
        <v>84</v>
      </c>
      <c r="D17" s="13">
        <v>1200000</v>
      </c>
      <c r="E17" t="s">
        <v>179</v>
      </c>
      <c r="J17" s="45"/>
    </row>
    <row r="18" spans="1:10" ht="15.75">
      <c r="A18" s="2" t="s">
        <v>149</v>
      </c>
      <c r="B18" s="9" t="s">
        <v>181</v>
      </c>
      <c r="C18" s="2">
        <v>45</v>
      </c>
      <c r="D18" s="13">
        <v>2500000</v>
      </c>
      <c r="E18" t="s">
        <v>179</v>
      </c>
      <c r="J18" s="45"/>
    </row>
    <row r="19" spans="1:10" ht="15.75">
      <c r="A19" s="2" t="s">
        <v>124</v>
      </c>
      <c r="B19" s="9" t="s">
        <v>182</v>
      </c>
      <c r="C19" s="2">
        <v>70</v>
      </c>
      <c r="D19" s="13">
        <v>100000</v>
      </c>
      <c r="E19" t="s">
        <v>174</v>
      </c>
      <c r="J19" s="45"/>
    </row>
    <row r="20" spans="1:10" ht="15.75">
      <c r="A20" s="2" t="s">
        <v>115</v>
      </c>
      <c r="B20" s="9" t="s">
        <v>183</v>
      </c>
      <c r="C20" s="2">
        <v>105</v>
      </c>
      <c r="D20" s="13">
        <v>2500000</v>
      </c>
      <c r="E20" t="s">
        <v>179</v>
      </c>
      <c r="J20" s="45"/>
    </row>
    <row r="21" spans="1:10" ht="15.75">
      <c r="A21" s="2" t="s">
        <v>122</v>
      </c>
      <c r="B21" s="9" t="s">
        <v>184</v>
      </c>
      <c r="C21" s="2">
        <v>70</v>
      </c>
      <c r="D21" s="13">
        <v>600000</v>
      </c>
      <c r="E21" t="s">
        <v>185</v>
      </c>
      <c r="J21" s="45"/>
    </row>
    <row r="22" spans="1:10" ht="15.75">
      <c r="A22" s="2" t="s">
        <v>144</v>
      </c>
      <c r="B22" s="19" t="s">
        <v>186</v>
      </c>
      <c r="C22" s="2">
        <v>30</v>
      </c>
      <c r="D22" s="13">
        <v>100000</v>
      </c>
      <c r="E22" t="s">
        <v>187</v>
      </c>
      <c r="J22" s="45"/>
    </row>
    <row r="23" spans="1:10" ht="15.75">
      <c r="A23" s="2" t="s">
        <v>126</v>
      </c>
      <c r="B23" s="9" t="s">
        <v>188</v>
      </c>
      <c r="C23" s="2">
        <v>28</v>
      </c>
      <c r="D23" s="13">
        <v>150000</v>
      </c>
      <c r="E23" t="s">
        <v>187</v>
      </c>
      <c r="J23" s="45"/>
    </row>
    <row r="24" spans="1:10" ht="15.75">
      <c r="A24" s="2" t="s">
        <v>127</v>
      </c>
      <c r="B24" s="9" t="s">
        <v>189</v>
      </c>
      <c r="C24" s="2">
        <v>28</v>
      </c>
      <c r="D24" s="13">
        <v>100000</v>
      </c>
      <c r="E24" t="s">
        <v>190</v>
      </c>
      <c r="J24" s="45"/>
    </row>
    <row r="25" spans="1:10" ht="15.75">
      <c r="A25" s="2" t="s">
        <v>128</v>
      </c>
      <c r="B25" s="9" t="s">
        <v>191</v>
      </c>
      <c r="C25" s="2">
        <v>28</v>
      </c>
      <c r="D25" s="13">
        <v>150000</v>
      </c>
      <c r="E25" t="s">
        <v>192</v>
      </c>
      <c r="J25" s="45"/>
    </row>
    <row r="26" spans="1:10" ht="15.75">
      <c r="A26" s="2" t="s">
        <v>129</v>
      </c>
      <c r="B26" s="9" t="s">
        <v>193</v>
      </c>
      <c r="C26" s="2">
        <v>14</v>
      </c>
      <c r="D26" s="13">
        <v>50000</v>
      </c>
      <c r="E26" t="s">
        <v>157</v>
      </c>
      <c r="J26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7615-8859-463E-93B0-31CED482B0F7}">
  <dimension ref="A1:BS65"/>
  <sheetViews>
    <sheetView topLeftCell="AT23" workbookViewId="0">
      <selection activeCell="X23" sqref="X23"/>
    </sheetView>
  </sheetViews>
  <sheetFormatPr defaultRowHeight="15"/>
  <cols>
    <col min="1" max="1" width="7.85546875" customWidth="1"/>
    <col min="2" max="2" width="13.28515625" bestFit="1" customWidth="1"/>
    <col min="3" max="3" width="13.140625" customWidth="1"/>
    <col min="5" max="5" width="8.85546875" customWidth="1"/>
    <col min="6" max="6" width="11" customWidth="1"/>
    <col min="9" max="9" width="6.42578125" customWidth="1"/>
    <col min="11" max="11" width="5.5703125" bestFit="1" customWidth="1"/>
    <col min="13" max="13" width="5.85546875" customWidth="1"/>
    <col min="14" max="14" width="10.5703125" customWidth="1"/>
    <col min="15" max="15" width="10" customWidth="1"/>
    <col min="16" max="16" width="15.28515625" customWidth="1"/>
    <col min="17" max="17" width="8.28515625" customWidth="1"/>
    <col min="19" max="19" width="12.85546875" customWidth="1"/>
    <col min="21" max="21" width="8.7109375" customWidth="1"/>
    <col min="23" max="23" width="14.85546875" customWidth="1"/>
    <col min="27" max="27" width="13.140625" customWidth="1"/>
    <col min="31" max="31" width="13.42578125" customWidth="1"/>
    <col min="35" max="35" width="18.5703125" customWidth="1"/>
    <col min="37" max="37" width="16.140625" customWidth="1"/>
    <col min="39" max="39" width="14.42578125" customWidth="1"/>
    <col min="43" max="43" width="12.42578125" customWidth="1"/>
    <col min="47" max="47" width="9.42578125" customWidth="1"/>
    <col min="49" max="49" width="13" customWidth="1"/>
    <col min="51" max="51" width="5.5703125" bestFit="1" customWidth="1"/>
    <col min="55" max="55" width="11.7109375" customWidth="1"/>
    <col min="67" max="67" width="11.5703125" customWidth="1"/>
  </cols>
  <sheetData>
    <row r="1" spans="1:55">
      <c r="A1" s="118" t="s">
        <v>76</v>
      </c>
      <c r="B1" s="118"/>
      <c r="C1" s="118"/>
      <c r="E1" s="138" t="s">
        <v>93</v>
      </c>
      <c r="F1" s="139"/>
      <c r="G1" s="124">
        <v>1324</v>
      </c>
      <c r="H1" s="125"/>
      <c r="I1" s="125"/>
      <c r="J1" s="125"/>
      <c r="K1" s="125"/>
      <c r="L1" s="125"/>
      <c r="M1" s="125"/>
      <c r="N1" s="125"/>
      <c r="O1" s="125"/>
      <c r="P1" s="125"/>
    </row>
    <row r="2" spans="1:55">
      <c r="A2" s="10" t="s">
        <v>95</v>
      </c>
      <c r="B2" s="10" t="s">
        <v>96</v>
      </c>
      <c r="C2" s="10" t="s">
        <v>97</v>
      </c>
      <c r="E2" s="52" t="s">
        <v>194</v>
      </c>
      <c r="F2" s="5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55">
      <c r="A3" s="10" t="s">
        <v>100</v>
      </c>
      <c r="B3" s="106" t="s">
        <v>195</v>
      </c>
      <c r="C3" s="107"/>
      <c r="E3" s="55" t="s">
        <v>106</v>
      </c>
      <c r="F3" s="56"/>
      <c r="G3" s="106" t="s">
        <v>196</v>
      </c>
      <c r="H3" s="114"/>
      <c r="I3" s="114"/>
      <c r="J3" s="114"/>
      <c r="K3" s="114"/>
      <c r="L3" s="114"/>
      <c r="M3" s="114"/>
      <c r="N3" s="114"/>
      <c r="O3" s="114"/>
      <c r="P3" s="107"/>
    </row>
    <row r="4" spans="1:55">
      <c r="A4" s="10" t="s">
        <v>103</v>
      </c>
      <c r="B4" s="10" t="s">
        <v>104</v>
      </c>
      <c r="C4" s="10" t="s">
        <v>105</v>
      </c>
      <c r="E4" s="119" t="s">
        <v>108</v>
      </c>
      <c r="F4" s="120"/>
      <c r="G4" s="106">
        <f>A19</f>
        <v>1324</v>
      </c>
      <c r="H4" s="114"/>
      <c r="I4" s="114"/>
      <c r="J4" s="114"/>
      <c r="K4" s="114"/>
      <c r="L4" s="114"/>
      <c r="M4" s="114"/>
      <c r="N4" s="114"/>
      <c r="O4" s="114"/>
      <c r="P4" s="107"/>
    </row>
    <row r="12" spans="1:55">
      <c r="U12" s="10">
        <f>S18</f>
        <v>113</v>
      </c>
      <c r="V12" s="10" t="s">
        <v>109</v>
      </c>
      <c r="W12" s="10">
        <f>U12+V14</f>
        <v>155</v>
      </c>
    </row>
    <row r="13" spans="1:55">
      <c r="U13" s="10">
        <f>U14-U12</f>
        <v>1366</v>
      </c>
      <c r="V13" s="115" t="s">
        <v>197</v>
      </c>
      <c r="W13" s="116"/>
      <c r="BA13" s="64">
        <f>AY18</f>
        <v>664</v>
      </c>
      <c r="BB13" s="64" t="s">
        <v>115</v>
      </c>
      <c r="BC13" s="64">
        <f>BA13+BB15</f>
        <v>769</v>
      </c>
    </row>
    <row r="14" spans="1:55">
      <c r="U14" s="10">
        <f>W14-V14</f>
        <v>1479</v>
      </c>
      <c r="V14" s="10">
        <v>42</v>
      </c>
      <c r="W14" s="10">
        <f>AC20</f>
        <v>1521</v>
      </c>
      <c r="BA14" s="64">
        <f>BA15-BA13</f>
        <v>1324</v>
      </c>
      <c r="BB14" s="66" t="s">
        <v>198</v>
      </c>
      <c r="BC14" s="65"/>
    </row>
    <row r="15" spans="1:55">
      <c r="BA15" s="64">
        <f>BC15-BB15</f>
        <v>1988</v>
      </c>
      <c r="BB15" s="64">
        <v>105</v>
      </c>
      <c r="BC15" s="64">
        <f>BE20</f>
        <v>2093</v>
      </c>
    </row>
    <row r="16" spans="1:55">
      <c r="U16" s="64">
        <f>S18</f>
        <v>113</v>
      </c>
      <c r="V16" s="64" t="s">
        <v>111</v>
      </c>
      <c r="W16" s="64">
        <f>U16+V18</f>
        <v>155</v>
      </c>
      <c r="AK16" s="10">
        <f>AI18</f>
        <v>381</v>
      </c>
      <c r="AL16" s="10" t="s">
        <v>112</v>
      </c>
      <c r="AM16" s="10">
        <f>AK16+AL18</f>
        <v>437</v>
      </c>
    </row>
    <row r="17" spans="1:71">
      <c r="U17" s="64">
        <f>U18-U16</f>
        <v>1324</v>
      </c>
      <c r="V17" s="66" t="s">
        <v>199</v>
      </c>
      <c r="W17" s="65"/>
      <c r="AK17" s="10">
        <f>AK18-AK16</f>
        <v>1481</v>
      </c>
      <c r="AL17" s="57" t="s">
        <v>200</v>
      </c>
      <c r="AM17" s="50"/>
      <c r="BA17" s="10">
        <f>AY18</f>
        <v>664</v>
      </c>
      <c r="BB17" s="10" t="s">
        <v>122</v>
      </c>
      <c r="BC17" s="10">
        <f>BA17+BB19</f>
        <v>734</v>
      </c>
    </row>
    <row r="18" spans="1:71">
      <c r="A18" s="64">
        <v>0</v>
      </c>
      <c r="B18" s="64">
        <v>1.1000000000000001</v>
      </c>
      <c r="C18" s="64">
        <f>A18+B20</f>
        <v>10</v>
      </c>
      <c r="E18" s="64">
        <f>C18</f>
        <v>10</v>
      </c>
      <c r="F18" s="64">
        <v>1.2</v>
      </c>
      <c r="G18" s="64">
        <f>E18+F20</f>
        <v>30</v>
      </c>
      <c r="I18" s="64">
        <f>G18</f>
        <v>30</v>
      </c>
      <c r="J18" s="64">
        <v>2.2000000000000002</v>
      </c>
      <c r="K18" s="64">
        <f>I18+J20</f>
        <v>51</v>
      </c>
      <c r="M18" s="64">
        <f>K18</f>
        <v>51</v>
      </c>
      <c r="N18" s="64">
        <v>2.1</v>
      </c>
      <c r="O18" s="64">
        <f>M18+N20</f>
        <v>71</v>
      </c>
      <c r="Q18" s="64">
        <f>O18</f>
        <v>71</v>
      </c>
      <c r="R18" s="64" t="s">
        <v>123</v>
      </c>
      <c r="S18" s="64">
        <f>Q18+R20</f>
        <v>113</v>
      </c>
      <c r="U18" s="64">
        <f>W18-V18</f>
        <v>1437</v>
      </c>
      <c r="V18" s="67">
        <v>42</v>
      </c>
      <c r="W18" s="64">
        <f>Y21</f>
        <v>1479</v>
      </c>
      <c r="AC18" s="64">
        <f>AA19</f>
        <v>197</v>
      </c>
      <c r="AD18" s="64">
        <v>4.0999999999999996</v>
      </c>
      <c r="AE18" s="64">
        <f>AC18+AD20</f>
        <v>297</v>
      </c>
      <c r="AG18" s="64">
        <f>AE18</f>
        <v>297</v>
      </c>
      <c r="AH18" s="64">
        <v>4.2</v>
      </c>
      <c r="AI18" s="64">
        <f>AG18+AH20</f>
        <v>381</v>
      </c>
      <c r="AK18" s="10">
        <f>AM18-AL18</f>
        <v>1862</v>
      </c>
      <c r="AL18" s="10">
        <v>56</v>
      </c>
      <c r="AM18" s="10">
        <f>AW20</f>
        <v>1918</v>
      </c>
      <c r="AW18" s="64">
        <f>AU20</f>
        <v>594</v>
      </c>
      <c r="AX18" s="64" t="s">
        <v>124</v>
      </c>
      <c r="AY18" s="64">
        <f>AW18+AX20</f>
        <v>664</v>
      </c>
      <c r="BA18" s="64">
        <f>BA19-BA17</f>
        <v>1359</v>
      </c>
      <c r="BB18" s="57" t="s">
        <v>201</v>
      </c>
      <c r="BC18" s="50"/>
      <c r="BE18" s="64">
        <f>BC13</f>
        <v>769</v>
      </c>
      <c r="BF18" s="68" t="s">
        <v>126</v>
      </c>
      <c r="BG18" s="68">
        <f>BE18+BF20</f>
        <v>797</v>
      </c>
      <c r="BI18" s="64">
        <f>BG18</f>
        <v>797</v>
      </c>
      <c r="BJ18" s="64" t="s">
        <v>127</v>
      </c>
      <c r="BK18" s="64">
        <f>BI18+BJ20</f>
        <v>825</v>
      </c>
      <c r="BM18" s="64">
        <f>BK18</f>
        <v>825</v>
      </c>
      <c r="BN18" s="64" t="s">
        <v>128</v>
      </c>
      <c r="BO18" s="64">
        <f>BM18+BN20</f>
        <v>853</v>
      </c>
      <c r="BQ18" s="64">
        <f>BO18</f>
        <v>853</v>
      </c>
      <c r="BR18" s="64" t="s">
        <v>129</v>
      </c>
      <c r="BS18" s="64">
        <f>BQ18+BR20</f>
        <v>867</v>
      </c>
    </row>
    <row r="19" spans="1:71">
      <c r="A19" s="64">
        <f>A20-A18</f>
        <v>1324</v>
      </c>
      <c r="B19" s="147" t="s">
        <v>202</v>
      </c>
      <c r="C19" s="148"/>
      <c r="E19" s="64">
        <f>E20-E18</f>
        <v>1324</v>
      </c>
      <c r="F19" s="147" t="s">
        <v>203</v>
      </c>
      <c r="G19" s="148"/>
      <c r="I19" s="64">
        <f>I20-I18</f>
        <v>1324</v>
      </c>
      <c r="J19" s="147" t="s">
        <v>204</v>
      </c>
      <c r="K19" s="148"/>
      <c r="M19" s="64">
        <f>M20-M18</f>
        <v>1324</v>
      </c>
      <c r="N19" s="147" t="s">
        <v>205</v>
      </c>
      <c r="O19" s="148"/>
      <c r="Q19" s="64">
        <f>Q20-Q18</f>
        <v>1324</v>
      </c>
      <c r="R19" s="121" t="s">
        <v>206</v>
      </c>
      <c r="S19" s="122"/>
      <c r="Y19" s="64">
        <f>W16</f>
        <v>155</v>
      </c>
      <c r="Z19" s="64" t="s">
        <v>117</v>
      </c>
      <c r="AA19" s="64">
        <f>Y19+Z21</f>
        <v>197</v>
      </c>
      <c r="AC19" s="64">
        <f>AC20-AC18</f>
        <v>1324</v>
      </c>
      <c r="AD19" s="121" t="s">
        <v>207</v>
      </c>
      <c r="AE19" s="122"/>
      <c r="AG19" s="64">
        <f>AG20-AG18</f>
        <v>1324</v>
      </c>
      <c r="AH19" s="121" t="s">
        <v>208</v>
      </c>
      <c r="AI19" s="122"/>
      <c r="AW19" s="64">
        <f>AW20-AW18</f>
        <v>1324</v>
      </c>
      <c r="AX19" s="66" t="s">
        <v>209</v>
      </c>
      <c r="AY19" s="65"/>
      <c r="BA19" s="10">
        <f>BC19-BB19</f>
        <v>2023</v>
      </c>
      <c r="BB19" s="10">
        <v>70</v>
      </c>
      <c r="BC19" s="10">
        <f>BE20</f>
        <v>2093</v>
      </c>
      <c r="BE19" s="64">
        <f>BE20-BE18</f>
        <v>1324</v>
      </c>
      <c r="BF19" s="69" t="s">
        <v>210</v>
      </c>
      <c r="BG19" s="70"/>
      <c r="BI19" s="64">
        <f>BI20-BI18</f>
        <v>1324</v>
      </c>
      <c r="BJ19" s="121" t="s">
        <v>211</v>
      </c>
      <c r="BK19" s="122"/>
      <c r="BM19" s="64">
        <f>BM20-BM18</f>
        <v>1324</v>
      </c>
      <c r="BN19" s="66" t="s">
        <v>212</v>
      </c>
      <c r="BO19" s="65"/>
      <c r="BQ19" s="64">
        <f>BQ20-BQ18</f>
        <v>1324</v>
      </c>
      <c r="BR19" s="66" t="s">
        <v>213</v>
      </c>
      <c r="BS19" s="65"/>
    </row>
    <row r="20" spans="1:71">
      <c r="A20" s="64">
        <f>C20-B20</f>
        <v>1324</v>
      </c>
      <c r="B20" s="64">
        <v>10</v>
      </c>
      <c r="C20" s="64">
        <f>E20</f>
        <v>1334</v>
      </c>
      <c r="E20" s="64">
        <f>G20-F20</f>
        <v>1334</v>
      </c>
      <c r="F20" s="64">
        <v>20</v>
      </c>
      <c r="G20" s="64">
        <f>I20</f>
        <v>1354</v>
      </c>
      <c r="I20" s="64">
        <f>K20-J20</f>
        <v>1354</v>
      </c>
      <c r="J20" s="64">
        <v>21</v>
      </c>
      <c r="K20" s="64">
        <f>M20</f>
        <v>1375</v>
      </c>
      <c r="M20" s="64">
        <f>O20-N20</f>
        <v>1375</v>
      </c>
      <c r="N20" s="64">
        <v>20</v>
      </c>
      <c r="O20" s="64">
        <f>Q20</f>
        <v>1395</v>
      </c>
      <c r="Q20" s="64">
        <f>S20-R20</f>
        <v>1395</v>
      </c>
      <c r="R20" s="64">
        <v>42</v>
      </c>
      <c r="S20" s="64">
        <f>U18</f>
        <v>1437</v>
      </c>
      <c r="U20" s="10">
        <f>S18</f>
        <v>113</v>
      </c>
      <c r="V20" s="10" t="s">
        <v>151</v>
      </c>
      <c r="W20" s="10">
        <f>U20+V22</f>
        <v>155</v>
      </c>
      <c r="Y20" s="64">
        <f>Y21-Y19</f>
        <v>1324</v>
      </c>
      <c r="Z20" s="121" t="s">
        <v>214</v>
      </c>
      <c r="AA20" s="122"/>
      <c r="AC20" s="64">
        <f>AE20-AD20</f>
        <v>1521</v>
      </c>
      <c r="AD20" s="64">
        <v>100</v>
      </c>
      <c r="AE20" s="64">
        <f>AG20</f>
        <v>1621</v>
      </c>
      <c r="AG20" s="64">
        <f>AI20-AH20</f>
        <v>1621</v>
      </c>
      <c r="AH20" s="64">
        <v>84</v>
      </c>
      <c r="AI20" s="64">
        <f>AK22</f>
        <v>1705</v>
      </c>
      <c r="AK20" s="64">
        <f>AI18</f>
        <v>381</v>
      </c>
      <c r="AL20" s="64" t="s">
        <v>118</v>
      </c>
      <c r="AM20" s="64">
        <f>AK20+AL22</f>
        <v>465</v>
      </c>
      <c r="AO20" s="64">
        <f>AM20</f>
        <v>465</v>
      </c>
      <c r="AP20" s="64" t="s">
        <v>142</v>
      </c>
      <c r="AQ20" s="64">
        <f>AO20+AP22</f>
        <v>549</v>
      </c>
      <c r="AS20" s="64">
        <f>AQ20</f>
        <v>549</v>
      </c>
      <c r="AT20" s="64" t="s">
        <v>149</v>
      </c>
      <c r="AU20" s="64">
        <f>AS20+AT22</f>
        <v>594</v>
      </c>
      <c r="AW20" s="64">
        <f>AY20-AX20</f>
        <v>1918</v>
      </c>
      <c r="AX20" s="64">
        <v>70</v>
      </c>
      <c r="AY20" s="64">
        <f>BA15</f>
        <v>1988</v>
      </c>
      <c r="BE20" s="64">
        <f>BG20-BF20</f>
        <v>2093</v>
      </c>
      <c r="BF20" s="71">
        <v>28</v>
      </c>
      <c r="BG20" s="64">
        <f>BI20</f>
        <v>2121</v>
      </c>
      <c r="BI20" s="64">
        <f>BK20-BJ20</f>
        <v>2121</v>
      </c>
      <c r="BJ20" s="64">
        <v>28</v>
      </c>
      <c r="BK20" s="64">
        <f>BM20</f>
        <v>2149</v>
      </c>
      <c r="BM20" s="64">
        <f>BO20-BN20</f>
        <v>2149</v>
      </c>
      <c r="BN20" s="64">
        <v>28</v>
      </c>
      <c r="BO20" s="64">
        <f>BQ20</f>
        <v>2177</v>
      </c>
      <c r="BQ20" s="64">
        <f>BS20-BR20</f>
        <v>2177</v>
      </c>
      <c r="BR20" s="64">
        <v>14</v>
      </c>
      <c r="BS20" s="64">
        <v>2191</v>
      </c>
    </row>
    <row r="21" spans="1:71">
      <c r="U21" s="10">
        <f>U22-U20</f>
        <v>1338</v>
      </c>
      <c r="V21" s="115" t="s">
        <v>215</v>
      </c>
      <c r="W21" s="116"/>
      <c r="Y21" s="64">
        <f>AA21-Z21</f>
        <v>1479</v>
      </c>
      <c r="Z21" s="67">
        <v>42</v>
      </c>
      <c r="AA21" s="64">
        <f>AC20</f>
        <v>1521</v>
      </c>
      <c r="AK21" s="64">
        <f>AK22-AK20</f>
        <v>1324</v>
      </c>
      <c r="AL21" s="66" t="s">
        <v>216</v>
      </c>
      <c r="AM21" s="65"/>
      <c r="AO21" s="64">
        <f>AO22-AO20</f>
        <v>1324</v>
      </c>
      <c r="AP21" s="66" t="s">
        <v>217</v>
      </c>
      <c r="AQ21" s="65"/>
      <c r="AS21" s="64">
        <f>AS22-AS20</f>
        <v>1324</v>
      </c>
      <c r="AT21" s="66" t="s">
        <v>218</v>
      </c>
      <c r="AU21" s="65"/>
      <c r="BA21" s="10">
        <f>AY18</f>
        <v>664</v>
      </c>
      <c r="BB21" s="10" t="s">
        <v>144</v>
      </c>
      <c r="BC21" s="10">
        <f>BA21+BB23</f>
        <v>734</v>
      </c>
      <c r="BG21" s="10"/>
    </row>
    <row r="22" spans="1:71">
      <c r="U22" s="10">
        <f>W22-V22</f>
        <v>1451</v>
      </c>
      <c r="V22" s="10">
        <v>42</v>
      </c>
      <c r="W22" s="10">
        <f>Y26</f>
        <v>1493</v>
      </c>
      <c r="AK22" s="64">
        <f>AM22-AL22</f>
        <v>1705</v>
      </c>
      <c r="AL22" s="64">
        <v>84</v>
      </c>
      <c r="AM22" s="64">
        <f>AO22</f>
        <v>1789</v>
      </c>
      <c r="AO22" s="64">
        <f>AQ22-AP22</f>
        <v>1789</v>
      </c>
      <c r="AP22" s="64">
        <v>84</v>
      </c>
      <c r="AQ22" s="64">
        <f>AS22</f>
        <v>1873</v>
      </c>
      <c r="AS22" s="64">
        <f>AU22-AT22</f>
        <v>1873</v>
      </c>
      <c r="AT22" s="64">
        <v>45</v>
      </c>
      <c r="AU22" s="64">
        <f>AW20</f>
        <v>1918</v>
      </c>
      <c r="BA22" s="64">
        <f>BA23-BA21</f>
        <v>1359</v>
      </c>
      <c r="BB22" s="57" t="s">
        <v>219</v>
      </c>
      <c r="BC22" s="50"/>
    </row>
    <row r="23" spans="1:71">
      <c r="BA23" s="10">
        <f>BC23-BB23</f>
        <v>2023</v>
      </c>
      <c r="BB23" s="10">
        <v>70</v>
      </c>
      <c r="BC23" s="10">
        <f>BE20</f>
        <v>2093</v>
      </c>
    </row>
    <row r="24" spans="1:71">
      <c r="U24" s="10">
        <f>S18</f>
        <v>113</v>
      </c>
      <c r="V24" s="10" t="s">
        <v>147</v>
      </c>
      <c r="W24" s="10">
        <f>U24+V26</f>
        <v>161</v>
      </c>
      <c r="Y24" s="10">
        <f>W24</f>
        <v>161</v>
      </c>
      <c r="Z24" s="10" t="s">
        <v>133</v>
      </c>
      <c r="AA24" s="10">
        <f>Y24+Z26</f>
        <v>189</v>
      </c>
    </row>
    <row r="25" spans="1:71">
      <c r="U25" s="10">
        <f>U26-U24</f>
        <v>1332</v>
      </c>
      <c r="V25" s="115" t="s">
        <v>220</v>
      </c>
      <c r="W25" s="116"/>
      <c r="Y25" s="10">
        <f>Y26-Y24</f>
        <v>1332</v>
      </c>
      <c r="Z25" s="115" t="s">
        <v>221</v>
      </c>
      <c r="AA25" s="116"/>
    </row>
    <row r="26" spans="1:71">
      <c r="U26" s="10">
        <f>W26-V26</f>
        <v>1445</v>
      </c>
      <c r="V26" s="10">
        <v>48</v>
      </c>
      <c r="W26" s="10">
        <f>Y26</f>
        <v>1493</v>
      </c>
      <c r="Y26" s="10">
        <f>AA26-Z26</f>
        <v>1493</v>
      </c>
      <c r="Z26" s="10">
        <v>28</v>
      </c>
      <c r="AA26" s="10">
        <f>AC20</f>
        <v>1521</v>
      </c>
      <c r="AC26" s="2"/>
    </row>
    <row r="27" spans="1:71">
      <c r="Y27" s="2"/>
      <c r="Z27" s="11"/>
      <c r="AA27" s="11"/>
      <c r="AC27" s="2"/>
    </row>
    <row r="28" spans="1:71">
      <c r="Y28" s="2"/>
      <c r="Z28" s="2"/>
      <c r="AA28" s="2"/>
      <c r="AC28" s="2"/>
    </row>
    <row r="29" spans="1:71">
      <c r="A29" s="11" t="s">
        <v>222</v>
      </c>
    </row>
    <row r="30" spans="1:71">
      <c r="A30" s="6" t="s">
        <v>223</v>
      </c>
      <c r="B30" s="6">
        <v>1</v>
      </c>
      <c r="C30" s="6">
        <v>1.5</v>
      </c>
      <c r="D30" s="6">
        <v>2</v>
      </c>
      <c r="E30" s="6">
        <v>2.5</v>
      </c>
      <c r="F30" s="6">
        <v>3</v>
      </c>
      <c r="G30" s="6">
        <v>3.5</v>
      </c>
      <c r="H30" s="6">
        <v>4</v>
      </c>
      <c r="I30" s="6">
        <v>4.5</v>
      </c>
      <c r="J30" s="6">
        <v>5</v>
      </c>
      <c r="K30" s="6">
        <v>5.5</v>
      </c>
      <c r="L30" s="6">
        <v>6</v>
      </c>
      <c r="M30" s="6">
        <v>6.5</v>
      </c>
      <c r="N30" s="6">
        <v>7</v>
      </c>
      <c r="O30" s="6">
        <v>7.5</v>
      </c>
      <c r="P30" s="6">
        <v>8</v>
      </c>
      <c r="Q30" s="6">
        <v>8.5</v>
      </c>
      <c r="R30" s="6">
        <v>9</v>
      </c>
      <c r="S30" s="6">
        <v>9.1</v>
      </c>
      <c r="T30" s="6">
        <v>10</v>
      </c>
      <c r="U30" s="6">
        <v>10.5</v>
      </c>
      <c r="V30" s="6">
        <v>11</v>
      </c>
      <c r="W30" s="6">
        <v>12</v>
      </c>
      <c r="X30" s="6">
        <v>13</v>
      </c>
      <c r="Y30" s="6">
        <v>14</v>
      </c>
      <c r="Z30" s="6">
        <v>15</v>
      </c>
      <c r="AA30" s="6">
        <v>16</v>
      </c>
      <c r="AB30" s="6">
        <v>17</v>
      </c>
      <c r="AC30" s="6">
        <v>18</v>
      </c>
      <c r="AD30" s="6">
        <v>19</v>
      </c>
      <c r="AE30" s="6">
        <v>21</v>
      </c>
      <c r="AF30" s="6">
        <v>22</v>
      </c>
      <c r="AG30" s="6">
        <v>23</v>
      </c>
      <c r="AH30" s="6">
        <v>24</v>
      </c>
      <c r="AI30" s="83">
        <v>25</v>
      </c>
      <c r="AJ30" s="83">
        <v>26</v>
      </c>
      <c r="AK30" s="83">
        <v>27</v>
      </c>
      <c r="AL30" s="89">
        <v>28</v>
      </c>
      <c r="AM30" s="46">
        <v>29</v>
      </c>
      <c r="AN30" s="46">
        <v>30</v>
      </c>
      <c r="AO30" s="46">
        <v>31</v>
      </c>
      <c r="AP30" s="46">
        <v>32</v>
      </c>
      <c r="AQ30" s="46">
        <v>33</v>
      </c>
      <c r="AR30" s="46">
        <v>34</v>
      </c>
      <c r="AS30" s="46">
        <v>34.5</v>
      </c>
      <c r="AT30" s="46">
        <v>35</v>
      </c>
      <c r="AU30" s="46">
        <v>36</v>
      </c>
      <c r="AV30" s="46">
        <v>37</v>
      </c>
      <c r="AW30" s="46">
        <v>38</v>
      </c>
      <c r="AX30" s="46">
        <v>39</v>
      </c>
      <c r="AY30" s="46">
        <v>40</v>
      </c>
      <c r="AZ30" s="46">
        <v>41</v>
      </c>
      <c r="BA30" s="46">
        <v>41.5</v>
      </c>
      <c r="BB30" s="46">
        <v>42</v>
      </c>
      <c r="BC30" s="46">
        <v>43</v>
      </c>
      <c r="BD30" s="46">
        <v>44</v>
      </c>
      <c r="BE30" s="46">
        <v>44.5</v>
      </c>
    </row>
    <row r="31" spans="1:71">
      <c r="A31" s="3" t="s">
        <v>224</v>
      </c>
      <c r="B31" s="51">
        <v>1.1000000000000001</v>
      </c>
      <c r="C31" s="51">
        <v>1.2</v>
      </c>
      <c r="D31" s="51">
        <v>1.2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46"/>
      <c r="AH31" s="57"/>
      <c r="AI31" s="3"/>
      <c r="AJ31" s="3"/>
      <c r="AK31" s="3"/>
      <c r="AL31" s="3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 t="s">
        <v>128</v>
      </c>
      <c r="BD31" s="4" t="s">
        <v>128</v>
      </c>
      <c r="BE31" s="4" t="s">
        <v>129</v>
      </c>
    </row>
    <row r="32" spans="1:71">
      <c r="A32" s="3" t="s">
        <v>225</v>
      </c>
      <c r="B32" s="51"/>
      <c r="C32" s="51"/>
      <c r="D32" s="51"/>
      <c r="E32" s="51">
        <v>2.2000000000000002</v>
      </c>
      <c r="F32" s="51">
        <v>2.2000000000000002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8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 t="s">
        <v>122</v>
      </c>
      <c r="AT32" s="3" t="s">
        <v>122</v>
      </c>
      <c r="AU32" s="3" t="s">
        <v>122</v>
      </c>
      <c r="AV32" s="3" t="s">
        <v>122</v>
      </c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3" t="s">
        <v>226</v>
      </c>
      <c r="B33" s="51"/>
      <c r="C33" s="51"/>
      <c r="D33" s="51"/>
      <c r="E33" s="51"/>
      <c r="F33" s="51"/>
      <c r="G33" s="51">
        <v>2.1</v>
      </c>
      <c r="H33" s="51">
        <v>2.1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3"/>
      <c r="X33" s="58"/>
      <c r="Y33" s="3"/>
      <c r="Z33" s="3"/>
      <c r="AA33" s="3"/>
      <c r="AB33" s="3"/>
      <c r="AC33" s="3"/>
      <c r="AD33" s="3"/>
      <c r="AE33" s="3"/>
      <c r="AF33" s="3"/>
      <c r="AG33" s="3"/>
      <c r="AH33" s="8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3" t="s">
        <v>227</v>
      </c>
      <c r="B34" s="51"/>
      <c r="C34" s="51"/>
      <c r="D34" s="51"/>
      <c r="E34" s="51"/>
      <c r="F34" s="51"/>
      <c r="G34" s="51"/>
      <c r="H34" s="51"/>
      <c r="I34" s="51" t="s">
        <v>123</v>
      </c>
      <c r="J34" s="51" t="s">
        <v>123</v>
      </c>
      <c r="K34" s="51" t="s">
        <v>123</v>
      </c>
      <c r="L34" s="51" t="s">
        <v>123</v>
      </c>
      <c r="M34" s="51" t="s">
        <v>109</v>
      </c>
      <c r="N34" s="51" t="s">
        <v>109</v>
      </c>
      <c r="O34" s="51" t="s">
        <v>109</v>
      </c>
      <c r="P34" s="51" t="s">
        <v>109</v>
      </c>
      <c r="Q34" s="51"/>
      <c r="R34" s="51"/>
      <c r="S34" s="51"/>
      <c r="T34" s="51"/>
      <c r="U34" s="51"/>
      <c r="V34" s="51"/>
      <c r="W34" s="3"/>
      <c r="X34" s="46"/>
      <c r="Y34" s="46"/>
      <c r="Z34" s="3"/>
      <c r="AA34" s="3"/>
      <c r="AB34" s="3"/>
      <c r="AC34" s="3"/>
      <c r="AD34" s="3"/>
      <c r="AE34" s="3" t="s">
        <v>112</v>
      </c>
      <c r="AF34" s="3" t="s">
        <v>112</v>
      </c>
      <c r="AG34" s="3" t="s">
        <v>112</v>
      </c>
      <c r="AH34" s="8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3" t="s">
        <v>228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 t="s">
        <v>109</v>
      </c>
      <c r="N35" s="51" t="s">
        <v>109</v>
      </c>
      <c r="O35" s="51" t="s">
        <v>109</v>
      </c>
      <c r="P35" s="51" t="s">
        <v>109</v>
      </c>
      <c r="Q35" s="51"/>
      <c r="R35" s="51"/>
      <c r="S35" s="51"/>
      <c r="T35" s="51"/>
      <c r="U35" s="51"/>
      <c r="V35" s="51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8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3" t="s">
        <v>229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 t="s">
        <v>111</v>
      </c>
      <c r="N36" s="51" t="s">
        <v>111</v>
      </c>
      <c r="O36" s="51" t="s">
        <v>111</v>
      </c>
      <c r="P36" s="51" t="s">
        <v>111</v>
      </c>
      <c r="Q36" s="51" t="s">
        <v>117</v>
      </c>
      <c r="R36" s="51" t="s">
        <v>117</v>
      </c>
      <c r="S36" s="51" t="s">
        <v>117</v>
      </c>
      <c r="T36" s="51" t="s">
        <v>117</v>
      </c>
      <c r="U36" s="51" t="s">
        <v>117</v>
      </c>
      <c r="V36" s="51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8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 t="s">
        <v>128</v>
      </c>
      <c r="BD36" s="3" t="s">
        <v>128</v>
      </c>
      <c r="BE36" s="3"/>
    </row>
    <row r="37" spans="1:57">
      <c r="A37" s="3" t="s">
        <v>230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 t="s">
        <v>151</v>
      </c>
      <c r="N37" s="51" t="s">
        <v>151</v>
      </c>
      <c r="O37" s="51" t="s">
        <v>151</v>
      </c>
      <c r="P37" s="51" t="s">
        <v>151</v>
      </c>
      <c r="Q37" s="51"/>
      <c r="R37" s="51" t="s">
        <v>133</v>
      </c>
      <c r="S37" s="51" t="s">
        <v>133</v>
      </c>
      <c r="T37" s="51" t="s">
        <v>133</v>
      </c>
      <c r="U37" s="51"/>
      <c r="V37" s="51">
        <v>4.0999999999999996</v>
      </c>
      <c r="W37" s="51">
        <v>4.0999999999999996</v>
      </c>
      <c r="X37" s="51">
        <v>4.0999999999999996</v>
      </c>
      <c r="Y37" s="51">
        <v>4.0999999999999996</v>
      </c>
      <c r="Z37" s="51">
        <v>4.0999999999999996</v>
      </c>
      <c r="AA37" s="51">
        <v>4.2</v>
      </c>
      <c r="AB37" s="51">
        <v>4.2</v>
      </c>
      <c r="AC37" s="51">
        <v>4.2</v>
      </c>
      <c r="AD37" s="51">
        <v>4.2</v>
      </c>
      <c r="AE37" s="51"/>
      <c r="AF37" s="3"/>
      <c r="AG37" s="3"/>
      <c r="AH37" s="82"/>
      <c r="AI37" s="3"/>
      <c r="AJ37" s="3"/>
      <c r="AK37" s="3"/>
      <c r="AL37" s="3"/>
      <c r="AM37" s="3"/>
      <c r="AN37" s="3"/>
      <c r="AO37" s="3" t="s">
        <v>124</v>
      </c>
      <c r="AP37" s="3" t="s">
        <v>124</v>
      </c>
      <c r="AQ37" s="3" t="s">
        <v>124</v>
      </c>
      <c r="AR37" s="3" t="s">
        <v>124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3" t="s">
        <v>231</v>
      </c>
      <c r="B38" s="51"/>
      <c r="C38" s="51"/>
      <c r="D38" s="51"/>
      <c r="E38" s="51"/>
      <c r="F38" s="51"/>
      <c r="G38" s="51"/>
      <c r="H38" s="51"/>
      <c r="I38" s="51"/>
      <c r="J38" s="59"/>
      <c r="K38" s="51"/>
      <c r="L38" s="51"/>
      <c r="M38" s="51" t="s">
        <v>147</v>
      </c>
      <c r="N38" s="51" t="s">
        <v>147</v>
      </c>
      <c r="O38" s="51" t="s">
        <v>147</v>
      </c>
      <c r="P38" s="51" t="s">
        <v>147</v>
      </c>
      <c r="Q38" s="51" t="s">
        <v>147</v>
      </c>
      <c r="R38" s="51" t="s">
        <v>133</v>
      </c>
      <c r="S38" s="51" t="s">
        <v>133</v>
      </c>
      <c r="T38" s="51" t="s">
        <v>133</v>
      </c>
      <c r="U38" s="51"/>
      <c r="V38" s="51"/>
      <c r="W38" s="3"/>
      <c r="X38" s="3"/>
      <c r="Y38" s="3"/>
      <c r="Z38" s="3"/>
      <c r="AA38" s="3"/>
      <c r="AB38" s="3"/>
      <c r="AC38" s="46"/>
      <c r="AD38" s="46"/>
      <c r="AE38" s="3"/>
      <c r="AF38" s="3"/>
      <c r="AG38" s="3"/>
      <c r="AH38" s="8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 t="s">
        <v>122</v>
      </c>
      <c r="AT38" s="3" t="s">
        <v>122</v>
      </c>
      <c r="AU38" s="3" t="s">
        <v>122</v>
      </c>
      <c r="AV38" s="3" t="s">
        <v>122</v>
      </c>
      <c r="AW38" s="3"/>
      <c r="AX38" s="3"/>
      <c r="AY38" s="3"/>
      <c r="AZ38" s="3"/>
      <c r="BA38" s="3"/>
      <c r="BB38" s="3"/>
      <c r="BC38" s="3" t="s">
        <v>128</v>
      </c>
      <c r="BD38" s="3" t="s">
        <v>128</v>
      </c>
      <c r="BE38" s="3"/>
    </row>
    <row r="39" spans="1:57">
      <c r="A39" s="3" t="s">
        <v>232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60"/>
      <c r="X39" s="3"/>
      <c r="Y39" s="3"/>
      <c r="Z39" s="3"/>
      <c r="AA39" s="3"/>
      <c r="AB39" s="3"/>
      <c r="AC39" s="3"/>
      <c r="AD39" s="3"/>
      <c r="AE39" s="3" t="s">
        <v>118</v>
      </c>
      <c r="AF39" s="3" t="s">
        <v>118</v>
      </c>
      <c r="AG39" s="3" t="s">
        <v>118</v>
      </c>
      <c r="AH39" s="82" t="s">
        <v>118</v>
      </c>
      <c r="AI39" s="3" t="s">
        <v>142</v>
      </c>
      <c r="AJ39" s="3" t="s">
        <v>142</v>
      </c>
      <c r="AK39" s="3" t="s">
        <v>142</v>
      </c>
      <c r="AL39" s="3" t="s">
        <v>142</v>
      </c>
      <c r="AM39" s="3" t="s">
        <v>149</v>
      </c>
      <c r="AN39" s="3" t="s">
        <v>149</v>
      </c>
      <c r="AO39" s="3" t="s">
        <v>124</v>
      </c>
      <c r="AP39" s="3" t="s">
        <v>124</v>
      </c>
      <c r="AQ39" s="3" t="s">
        <v>124</v>
      </c>
      <c r="AR39" s="3" t="s">
        <v>124</v>
      </c>
      <c r="AS39" s="3" t="s">
        <v>115</v>
      </c>
      <c r="AT39" s="3" t="s">
        <v>115</v>
      </c>
      <c r="AU39" s="3" t="s">
        <v>115</v>
      </c>
      <c r="AV39" s="3" t="s">
        <v>115</v>
      </c>
      <c r="AW39" s="3" t="s">
        <v>115</v>
      </c>
      <c r="AX39" s="3" t="s">
        <v>115</v>
      </c>
      <c r="AY39" s="3"/>
      <c r="AZ39" s="3"/>
      <c r="BA39" s="3"/>
      <c r="BB39" s="3"/>
      <c r="BC39" s="3"/>
      <c r="BD39" s="3"/>
      <c r="BE39" s="3"/>
    </row>
    <row r="40" spans="1:57">
      <c r="A40" s="3" t="s">
        <v>233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8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 t="s">
        <v>144</v>
      </c>
      <c r="AT40" s="3" t="s">
        <v>144</v>
      </c>
      <c r="AU40" s="3" t="s">
        <v>144</v>
      </c>
      <c r="AV40" s="3" t="s">
        <v>144</v>
      </c>
      <c r="AW40" s="3"/>
      <c r="AX40" s="3"/>
      <c r="AY40" s="3" t="s">
        <v>126</v>
      </c>
      <c r="AZ40" s="3" t="s">
        <v>126</v>
      </c>
      <c r="BA40" s="3" t="s">
        <v>127</v>
      </c>
      <c r="BB40" s="3" t="s">
        <v>127</v>
      </c>
      <c r="BC40" s="3"/>
      <c r="BD40" s="3"/>
      <c r="BE40" s="3"/>
    </row>
    <row r="41" spans="1:5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8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P42" s="2"/>
      <c r="Q42" s="11"/>
      <c r="R42" s="11"/>
      <c r="AJ42" s="2"/>
    </row>
    <row r="43" spans="1:57">
      <c r="M43" s="2"/>
      <c r="N43" s="2"/>
      <c r="O43" s="2"/>
      <c r="Y43" s="2"/>
      <c r="Z43" s="2"/>
      <c r="AA43" s="2"/>
      <c r="AG43" s="2"/>
    </row>
    <row r="44" spans="1:57">
      <c r="Y44" s="2"/>
      <c r="Z44" s="144"/>
      <c r="AA44" s="144"/>
      <c r="AG44" s="2"/>
    </row>
    <row r="45" spans="1:57">
      <c r="M45" s="2"/>
      <c r="N45" s="2"/>
      <c r="O45" s="2"/>
      <c r="Y45" s="2"/>
      <c r="Z45" s="2"/>
      <c r="AA45" s="2"/>
      <c r="AD45" s="2"/>
      <c r="AE45" s="2"/>
      <c r="AH45" s="2"/>
      <c r="AI45" s="2"/>
    </row>
    <row r="46" spans="1:57">
      <c r="M46" s="2"/>
      <c r="N46" s="144"/>
      <c r="O46" s="144"/>
      <c r="AD46" s="11"/>
      <c r="AE46" s="11"/>
      <c r="AH46" s="144"/>
      <c r="AI46" s="144"/>
    </row>
    <row r="47" spans="1:57">
      <c r="M47" s="2"/>
      <c r="N47" s="2"/>
      <c r="O47" s="2"/>
      <c r="Y47" s="2"/>
      <c r="Z47" s="2"/>
      <c r="AA47" s="2"/>
      <c r="AD47" s="2"/>
      <c r="AE47" s="2"/>
      <c r="AH47" s="2"/>
      <c r="AI47" s="2"/>
      <c r="AO47" s="26"/>
      <c r="AP47" s="26"/>
      <c r="AQ47" s="26"/>
      <c r="AR47" s="26"/>
      <c r="AS47" s="26"/>
      <c r="AT47" s="26"/>
      <c r="AU47" s="26"/>
    </row>
    <row r="48" spans="1:57">
      <c r="Y48" s="2"/>
      <c r="Z48" s="144"/>
      <c r="AA48" s="144"/>
      <c r="AO48" s="26"/>
      <c r="AP48" s="26"/>
      <c r="AQ48" s="26"/>
      <c r="AR48" s="26"/>
      <c r="AS48" s="27"/>
      <c r="AT48" s="27"/>
      <c r="AU48" s="27"/>
    </row>
    <row r="49" spans="1:67">
      <c r="H49" s="2"/>
      <c r="M49" s="2"/>
      <c r="N49" s="2"/>
      <c r="O49" s="2"/>
      <c r="Y49" s="2"/>
      <c r="Z49" s="2"/>
      <c r="AA49" s="2"/>
      <c r="AO49" s="26"/>
      <c r="AP49" s="26"/>
      <c r="AQ49" s="26"/>
      <c r="AR49" s="26"/>
      <c r="AS49" s="27"/>
      <c r="AT49" s="28"/>
      <c r="AU49" s="28"/>
    </row>
    <row r="50" spans="1:67">
      <c r="M50" s="2"/>
      <c r="N50" s="144"/>
      <c r="O50" s="144"/>
      <c r="AO50" s="26"/>
      <c r="AP50" s="26"/>
      <c r="AQ50" s="26"/>
      <c r="AR50" s="26"/>
      <c r="AS50" s="27"/>
      <c r="AT50" s="27"/>
      <c r="AU50" s="27"/>
    </row>
    <row r="51" spans="1:67">
      <c r="M51" s="2"/>
      <c r="N51" s="2"/>
      <c r="O51" s="2"/>
      <c r="Y51" s="2"/>
      <c r="Z51" s="2"/>
      <c r="AA51" s="2"/>
      <c r="AG51" s="2"/>
      <c r="AO51" s="26"/>
      <c r="AP51" s="26"/>
      <c r="AQ51" s="26"/>
      <c r="AR51" s="26"/>
      <c r="AS51" s="26"/>
      <c r="AT51" s="26"/>
      <c r="AU51" s="26"/>
    </row>
    <row r="52" spans="1:67">
      <c r="Y52" s="2"/>
      <c r="Z52" s="144"/>
      <c r="AA52" s="144"/>
      <c r="AG52" s="2"/>
      <c r="AO52" s="26"/>
      <c r="AP52" s="26"/>
      <c r="AQ52" s="26"/>
      <c r="AR52" s="26"/>
      <c r="AS52" s="27"/>
      <c r="AT52" s="27"/>
      <c r="AU52" s="27"/>
    </row>
    <row r="53" spans="1:67">
      <c r="E53" s="2"/>
      <c r="F53" s="2"/>
      <c r="G53" s="2"/>
      <c r="Y53" s="2"/>
      <c r="Z53" s="2"/>
      <c r="AA53" s="2"/>
      <c r="AG53" s="2"/>
      <c r="AO53" s="26"/>
      <c r="AP53" s="26"/>
      <c r="AQ53" s="26"/>
      <c r="AR53" s="26"/>
      <c r="AS53" s="27"/>
      <c r="AT53" s="28"/>
      <c r="AU53" s="28"/>
      <c r="BE53" s="2"/>
      <c r="BF53" s="2"/>
      <c r="BG53" s="2"/>
    </row>
    <row r="54" spans="1:67">
      <c r="E54" s="2"/>
      <c r="F54" s="144"/>
      <c r="G54" s="144"/>
      <c r="M54" s="2"/>
      <c r="N54" s="25"/>
      <c r="O54" s="2"/>
      <c r="AH54" s="2"/>
      <c r="AI54" s="2"/>
      <c r="AO54" s="27"/>
      <c r="AP54" s="27"/>
      <c r="AQ54" s="27"/>
      <c r="AR54" s="26"/>
      <c r="AS54" s="27"/>
      <c r="AT54" s="27"/>
      <c r="AU54" s="27"/>
      <c r="BE54" s="2"/>
      <c r="BF54" s="144"/>
      <c r="BG54" s="144"/>
    </row>
    <row r="55" spans="1:67">
      <c r="E55" s="2"/>
      <c r="F55" s="2"/>
      <c r="G55" s="2"/>
      <c r="M55" s="2"/>
      <c r="N55" s="11"/>
      <c r="O55" s="11"/>
      <c r="Y55" s="2"/>
      <c r="Z55" s="2"/>
      <c r="AA55" s="2"/>
      <c r="AD55" s="2"/>
      <c r="AE55" s="2"/>
      <c r="AG55" s="2"/>
      <c r="AH55" s="11"/>
      <c r="AI55" s="11"/>
      <c r="AO55" s="27"/>
      <c r="AP55" s="145"/>
      <c r="AQ55" s="145"/>
      <c r="AR55" s="26"/>
      <c r="AS55" s="26"/>
      <c r="AT55" s="26"/>
      <c r="AU55" s="26"/>
      <c r="AW55" s="2"/>
      <c r="AX55" s="2"/>
      <c r="AY55" s="2"/>
      <c r="BA55" s="2"/>
      <c r="BB55" s="2"/>
      <c r="BC55" s="2"/>
      <c r="BE55" s="2"/>
      <c r="BF55" s="2"/>
      <c r="BG55" s="2"/>
      <c r="BI55" s="2"/>
      <c r="BJ55" s="2"/>
      <c r="BK55" s="2"/>
      <c r="BM55" s="2"/>
      <c r="BN55" s="2"/>
      <c r="BO55" s="2"/>
    </row>
    <row r="56" spans="1:67">
      <c r="A56" s="2"/>
      <c r="B56" s="2"/>
      <c r="C56" s="2"/>
      <c r="I56" s="2"/>
      <c r="J56" s="2"/>
      <c r="K56" s="2"/>
      <c r="M56" s="2"/>
      <c r="N56" s="2"/>
      <c r="O56" s="2"/>
      <c r="Y56" s="2"/>
      <c r="Z56" s="144"/>
      <c r="AA56" s="144"/>
      <c r="AD56" s="144"/>
      <c r="AE56" s="144"/>
      <c r="AG56" s="2"/>
      <c r="AH56" s="2"/>
      <c r="AI56" s="2"/>
      <c r="AO56" s="27"/>
      <c r="AP56" s="27"/>
      <c r="AQ56" s="27"/>
      <c r="AR56" s="26"/>
      <c r="AS56" s="26"/>
      <c r="AT56" s="26"/>
      <c r="AU56" s="26"/>
      <c r="AW56" s="2"/>
      <c r="AX56" s="144"/>
      <c r="AY56" s="144"/>
      <c r="BA56" s="2"/>
      <c r="BB56" s="144"/>
      <c r="BC56" s="144"/>
      <c r="BI56" s="2"/>
      <c r="BJ56" s="144"/>
      <c r="BK56" s="144"/>
      <c r="BM56" s="2"/>
      <c r="BN56" s="144"/>
      <c r="BO56" s="144"/>
    </row>
    <row r="57" spans="1:67">
      <c r="A57" s="2"/>
      <c r="B57" s="11"/>
      <c r="C57" s="11"/>
      <c r="I57" s="2"/>
      <c r="J57" s="144"/>
      <c r="K57" s="144"/>
      <c r="Y57" s="2"/>
      <c r="Z57" s="2"/>
      <c r="AA57" s="2"/>
      <c r="AD57" s="2"/>
      <c r="AE57" s="2"/>
      <c r="AG57" s="2"/>
      <c r="AK57" s="2"/>
      <c r="AL57" s="2"/>
      <c r="AM57" s="2"/>
      <c r="AO57" s="26"/>
      <c r="AP57" s="26"/>
      <c r="AQ57" s="26"/>
      <c r="AR57" s="26"/>
      <c r="AS57" s="27"/>
      <c r="AT57" s="27"/>
      <c r="AU57" s="27"/>
      <c r="AW57" s="2"/>
      <c r="AX57" s="2"/>
      <c r="AY57" s="2"/>
      <c r="BA57" s="2"/>
      <c r="BB57" s="2"/>
      <c r="BC57" s="2"/>
      <c r="BE57" s="2"/>
      <c r="BF57" s="2"/>
      <c r="BG57" s="2"/>
      <c r="BI57" s="2"/>
      <c r="BJ57" s="2"/>
      <c r="BK57" s="2"/>
      <c r="BM57" s="2"/>
      <c r="BN57" s="2"/>
      <c r="BO57" s="2"/>
    </row>
    <row r="58" spans="1:67">
      <c r="A58" s="2"/>
      <c r="B58" s="2"/>
      <c r="C58" s="2"/>
      <c r="E58" s="2"/>
      <c r="F58" s="2"/>
      <c r="G58" s="2"/>
      <c r="I58" s="2"/>
      <c r="J58" s="2"/>
      <c r="K58" s="2"/>
      <c r="M58" s="2"/>
      <c r="N58" s="2"/>
      <c r="O58" s="2"/>
      <c r="AH58" s="2"/>
      <c r="AI58" s="2"/>
      <c r="AK58" s="2"/>
      <c r="AL58" s="11"/>
      <c r="AM58" s="11"/>
      <c r="AO58" s="26"/>
      <c r="AP58" s="26"/>
      <c r="AQ58" s="26"/>
      <c r="AR58" s="26"/>
      <c r="AS58" s="27"/>
      <c r="AT58" s="145"/>
      <c r="AU58" s="145"/>
      <c r="BE58" s="2"/>
      <c r="BF58" s="144"/>
      <c r="BG58" s="144"/>
    </row>
    <row r="59" spans="1:67">
      <c r="E59" s="2"/>
      <c r="F59" s="144"/>
      <c r="G59" s="144"/>
      <c r="M59" s="2"/>
      <c r="N59" s="144"/>
      <c r="O59" s="144"/>
      <c r="Y59" s="2"/>
      <c r="Z59" s="2"/>
      <c r="AA59" s="2"/>
      <c r="AG59" s="27"/>
      <c r="AH59" s="11"/>
      <c r="AI59" s="11"/>
      <c r="AK59" s="2"/>
      <c r="AL59" s="2"/>
      <c r="AM59" s="2"/>
      <c r="AO59" s="27"/>
      <c r="AP59" s="27"/>
      <c r="AQ59" s="27"/>
      <c r="AR59" s="26"/>
      <c r="AS59" s="27"/>
      <c r="AT59" s="27"/>
      <c r="AU59" s="27"/>
      <c r="BE59" s="2"/>
      <c r="BF59" s="2"/>
      <c r="BG59" s="2"/>
    </row>
    <row r="60" spans="1:67">
      <c r="E60" s="2"/>
      <c r="F60" s="2"/>
      <c r="G60" s="2"/>
      <c r="M60" s="2"/>
      <c r="N60" s="2"/>
      <c r="O60" s="2"/>
      <c r="Y60" s="2"/>
      <c r="Z60" s="144"/>
      <c r="AA60" s="144"/>
      <c r="AG60" s="27"/>
      <c r="AH60" s="2"/>
      <c r="AI60" s="2"/>
      <c r="AO60" s="27"/>
      <c r="AP60" s="145"/>
      <c r="AQ60" s="145"/>
      <c r="AR60" s="26"/>
      <c r="AS60" s="26"/>
      <c r="AT60" s="26"/>
      <c r="AU60" s="26"/>
    </row>
    <row r="61" spans="1:67">
      <c r="Y61" s="2"/>
      <c r="Z61" s="2"/>
      <c r="AA61" s="2"/>
      <c r="AG61" s="27"/>
      <c r="AO61" s="27"/>
      <c r="AP61" s="27"/>
      <c r="AQ61" s="27"/>
      <c r="AR61" s="26"/>
      <c r="AS61" s="27"/>
      <c r="AT61" s="27"/>
      <c r="AU61" s="27"/>
    </row>
    <row r="62" spans="1:67">
      <c r="M62" s="2"/>
      <c r="N62" s="2"/>
      <c r="O62" s="2"/>
      <c r="AH62" s="27"/>
      <c r="AI62" s="27"/>
      <c r="AO62" s="26"/>
      <c r="AP62" s="26"/>
      <c r="AQ62" s="26"/>
      <c r="AR62" s="26"/>
      <c r="AS62" s="27"/>
      <c r="AT62" s="145"/>
      <c r="AU62" s="145"/>
    </row>
    <row r="63" spans="1:67">
      <c r="M63" s="2"/>
      <c r="N63" s="144"/>
      <c r="O63" s="144"/>
      <c r="Y63" s="2"/>
      <c r="Z63" s="2"/>
      <c r="AA63" s="2"/>
      <c r="AH63" s="145"/>
      <c r="AI63" s="145"/>
      <c r="AO63" s="26"/>
      <c r="AP63" s="26"/>
      <c r="AQ63" s="26"/>
      <c r="AR63" s="26"/>
      <c r="AS63" s="27"/>
      <c r="AT63" s="27"/>
      <c r="AU63" s="27"/>
    </row>
    <row r="64" spans="1:67">
      <c r="M64" s="2"/>
      <c r="N64" s="2"/>
      <c r="O64" s="2"/>
      <c r="Y64" s="2"/>
      <c r="Z64" s="144"/>
      <c r="AA64" s="144"/>
      <c r="AH64" s="27"/>
      <c r="AI64" s="27"/>
    </row>
    <row r="65" spans="25:50">
      <c r="Y65" s="2"/>
      <c r="Z65" s="2"/>
      <c r="AA65" s="2"/>
      <c r="AX65" s="11"/>
    </row>
  </sheetData>
  <mergeCells count="47">
    <mergeCell ref="Z64:AA64"/>
    <mergeCell ref="V21:W21"/>
    <mergeCell ref="V25:W25"/>
    <mergeCell ref="AP60:AQ60"/>
    <mergeCell ref="V13:W13"/>
    <mergeCell ref="Z52:AA52"/>
    <mergeCell ref="Z56:AA56"/>
    <mergeCell ref="Z25:AA25"/>
    <mergeCell ref="AH19:AI19"/>
    <mergeCell ref="AD19:AE19"/>
    <mergeCell ref="AT62:AU62"/>
    <mergeCell ref="N59:O59"/>
    <mergeCell ref="Z44:AA44"/>
    <mergeCell ref="AH63:AI63"/>
    <mergeCell ref="N63:O63"/>
    <mergeCell ref="Z48:AA48"/>
    <mergeCell ref="Z60:AA60"/>
    <mergeCell ref="AT58:AU58"/>
    <mergeCell ref="N46:O46"/>
    <mergeCell ref="J57:K57"/>
    <mergeCell ref="AH46:AI46"/>
    <mergeCell ref="BF58:BG58"/>
    <mergeCell ref="F59:G59"/>
    <mergeCell ref="AP55:AQ55"/>
    <mergeCell ref="AD56:AE56"/>
    <mergeCell ref="AX56:AY56"/>
    <mergeCell ref="BB56:BC56"/>
    <mergeCell ref="BN56:BO56"/>
    <mergeCell ref="BJ19:BK19"/>
    <mergeCell ref="BJ56:BK56"/>
    <mergeCell ref="B19:C19"/>
    <mergeCell ref="F19:G19"/>
    <mergeCell ref="N19:O19"/>
    <mergeCell ref="Z20:AA20"/>
    <mergeCell ref="F54:G54"/>
    <mergeCell ref="N50:O50"/>
    <mergeCell ref="BF54:BG54"/>
    <mergeCell ref="E4:F4"/>
    <mergeCell ref="G4:P4"/>
    <mergeCell ref="J19:K19"/>
    <mergeCell ref="R19:S19"/>
    <mergeCell ref="A1:C1"/>
    <mergeCell ref="E1:F1"/>
    <mergeCell ref="G2:P2"/>
    <mergeCell ref="B3:C3"/>
    <mergeCell ref="G3:P3"/>
    <mergeCell ref="G1:P1"/>
  </mergeCells>
  <conditionalFormatting sqref="A1: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37A3-D8DC-4148-A3E1-8F8E8D62BC8E}">
  <dimension ref="A1:AW29"/>
  <sheetViews>
    <sheetView topLeftCell="A2" workbookViewId="0">
      <pane xSplit="4" ySplit="1" topLeftCell="E6" activePane="bottomRight" state="frozen"/>
      <selection pane="bottomRight" activeCell="AW29" sqref="AW29"/>
      <selection pane="bottomLeft"/>
      <selection pane="topRight"/>
    </sheetView>
  </sheetViews>
  <sheetFormatPr defaultRowHeight="15"/>
  <cols>
    <col min="2" max="2" width="12.7109375" customWidth="1"/>
    <col min="3" max="3" width="12.42578125" customWidth="1"/>
  </cols>
  <sheetData>
    <row r="1" spans="1:49">
      <c r="A1" s="149" t="s">
        <v>234</v>
      </c>
      <c r="B1" s="149"/>
      <c r="C1" s="149"/>
      <c r="D1" s="149"/>
      <c r="E1" s="149" t="s">
        <v>235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</row>
    <row r="2" spans="1:49" ht="20.25">
      <c r="A2" s="47" t="s">
        <v>96</v>
      </c>
      <c r="B2" s="47" t="s">
        <v>236</v>
      </c>
      <c r="C2" s="84" t="s">
        <v>237</v>
      </c>
      <c r="D2" s="84" t="s">
        <v>238</v>
      </c>
      <c r="E2" s="127">
        <v>1</v>
      </c>
      <c r="F2" s="127">
        <v>2</v>
      </c>
      <c r="G2" s="127">
        <v>3</v>
      </c>
      <c r="H2" s="127">
        <v>4</v>
      </c>
      <c r="I2" s="127">
        <v>5</v>
      </c>
      <c r="J2" s="127">
        <v>6</v>
      </c>
      <c r="K2" s="127">
        <v>7</v>
      </c>
      <c r="L2" s="127">
        <v>8</v>
      </c>
      <c r="M2" s="127">
        <v>9</v>
      </c>
      <c r="N2" s="127">
        <v>10</v>
      </c>
      <c r="O2" s="127">
        <v>11</v>
      </c>
      <c r="P2" s="127">
        <v>12</v>
      </c>
      <c r="Q2" s="127">
        <v>13</v>
      </c>
      <c r="R2" s="127">
        <v>14</v>
      </c>
      <c r="S2" s="127">
        <v>15</v>
      </c>
      <c r="T2" s="127">
        <v>16</v>
      </c>
      <c r="U2" s="127">
        <v>17</v>
      </c>
      <c r="V2" s="127">
        <v>18</v>
      </c>
      <c r="W2" s="127">
        <v>19</v>
      </c>
      <c r="X2" s="127">
        <v>20</v>
      </c>
      <c r="Y2" s="127">
        <v>21</v>
      </c>
      <c r="Z2" s="127">
        <v>22</v>
      </c>
      <c r="AA2" s="127">
        <v>23</v>
      </c>
      <c r="AB2" s="127">
        <v>24</v>
      </c>
      <c r="AC2" s="127">
        <v>25</v>
      </c>
      <c r="AD2" s="127">
        <v>26</v>
      </c>
      <c r="AE2" s="127">
        <v>27</v>
      </c>
      <c r="AF2" s="127">
        <v>28</v>
      </c>
      <c r="AG2" s="127">
        <v>29</v>
      </c>
      <c r="AH2" s="127">
        <v>30</v>
      </c>
      <c r="AI2" s="127">
        <v>31</v>
      </c>
      <c r="AJ2" s="127">
        <v>32</v>
      </c>
      <c r="AK2" s="127">
        <v>33</v>
      </c>
      <c r="AL2" s="127">
        <v>34</v>
      </c>
      <c r="AM2" s="127">
        <v>35</v>
      </c>
      <c r="AN2" s="127">
        <v>36</v>
      </c>
      <c r="AO2" s="127">
        <v>37</v>
      </c>
      <c r="AP2" s="127">
        <v>38</v>
      </c>
      <c r="AQ2" s="127">
        <v>39</v>
      </c>
      <c r="AR2" s="127">
        <v>40</v>
      </c>
      <c r="AS2" s="127">
        <v>41</v>
      </c>
      <c r="AT2" s="127">
        <v>42</v>
      </c>
      <c r="AU2" s="127">
        <v>43</v>
      </c>
      <c r="AV2" s="127">
        <v>44</v>
      </c>
      <c r="AW2" s="128" t="s">
        <v>239</v>
      </c>
    </row>
    <row r="3" spans="1:49">
      <c r="A3" s="81">
        <v>1.1000000000000001</v>
      </c>
      <c r="B3" s="80">
        <v>2</v>
      </c>
      <c r="C3" s="79" t="s">
        <v>130</v>
      </c>
      <c r="D3" s="126">
        <v>10</v>
      </c>
      <c r="E3" s="49">
        <v>10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9">
        <f>SUM(E3:AV3)</f>
        <v>10</v>
      </c>
    </row>
    <row r="4" spans="1:49">
      <c r="A4" s="81">
        <v>1.2</v>
      </c>
      <c r="B4" s="80">
        <v>4</v>
      </c>
      <c r="C4" s="79" t="s">
        <v>158</v>
      </c>
      <c r="D4" s="126">
        <v>10</v>
      </c>
      <c r="E4" s="49">
        <v>5</v>
      </c>
      <c r="F4" s="49">
        <v>5</v>
      </c>
      <c r="G4" s="3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9">
        <f>SUM(E4:AV4)</f>
        <v>10</v>
      </c>
    </row>
    <row r="5" spans="1:49" ht="20.25">
      <c r="A5" s="81">
        <v>2.2000000000000002</v>
      </c>
      <c r="B5" s="80">
        <v>4.2</v>
      </c>
      <c r="C5" s="79" t="s">
        <v>240</v>
      </c>
      <c r="D5" s="126">
        <v>75</v>
      </c>
      <c r="E5" s="49"/>
      <c r="F5" s="49">
        <v>37</v>
      </c>
      <c r="G5" s="49">
        <v>38</v>
      </c>
      <c r="H5" s="3"/>
      <c r="I5" s="3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49">
        <f>SUM(E5:AV5)</f>
        <v>75</v>
      </c>
    </row>
    <row r="6" spans="1:49" ht="20.25">
      <c r="A6" s="81">
        <v>2.1</v>
      </c>
      <c r="B6" s="80">
        <v>4</v>
      </c>
      <c r="C6" s="79" t="s">
        <v>241</v>
      </c>
      <c r="D6" s="126">
        <v>50</v>
      </c>
      <c r="E6" s="49"/>
      <c r="F6" s="3"/>
      <c r="G6" s="49">
        <v>25</v>
      </c>
      <c r="H6" s="49">
        <v>25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49">
        <f>SUM(E6:AV6)</f>
        <v>50</v>
      </c>
    </row>
    <row r="7" spans="1:49">
      <c r="A7" s="81" t="s">
        <v>123</v>
      </c>
      <c r="B7" s="80">
        <v>8.4</v>
      </c>
      <c r="C7" s="79" t="s">
        <v>132</v>
      </c>
      <c r="D7" s="126">
        <v>30</v>
      </c>
      <c r="E7" s="49"/>
      <c r="F7" s="49"/>
      <c r="G7" s="3"/>
      <c r="H7" s="49">
        <v>10</v>
      </c>
      <c r="I7" s="49">
        <v>15</v>
      </c>
      <c r="J7" s="49">
        <v>5</v>
      </c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9">
        <f>SUM(E7:AV7)</f>
        <v>30</v>
      </c>
    </row>
    <row r="8" spans="1:49" ht="20.25">
      <c r="A8" s="81" t="s">
        <v>109</v>
      </c>
      <c r="B8" s="80">
        <v>8.4</v>
      </c>
      <c r="C8" s="79" t="s">
        <v>242</v>
      </c>
      <c r="D8" s="126">
        <v>30</v>
      </c>
      <c r="E8" s="49"/>
      <c r="F8" s="49"/>
      <c r="G8" s="3"/>
      <c r="H8" s="3"/>
      <c r="I8" s="3"/>
      <c r="J8" s="49">
        <v>15</v>
      </c>
      <c r="K8" s="49">
        <v>6</v>
      </c>
      <c r="L8" s="49">
        <v>9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49">
        <f>SUM(E8:AV8)</f>
        <v>30</v>
      </c>
    </row>
    <row r="9" spans="1:49">
      <c r="A9" s="81" t="s">
        <v>111</v>
      </c>
      <c r="B9" s="80">
        <v>5.6</v>
      </c>
      <c r="C9" s="79" t="s">
        <v>243</v>
      </c>
      <c r="D9" s="126">
        <v>200</v>
      </c>
      <c r="E9" s="49"/>
      <c r="F9" s="49"/>
      <c r="G9" s="49"/>
      <c r="H9" s="3"/>
      <c r="I9" s="3"/>
      <c r="J9" s="49">
        <v>53</v>
      </c>
      <c r="K9" s="49">
        <v>55</v>
      </c>
      <c r="L9" s="49">
        <v>92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49">
        <f>SUM(E9:AV9)</f>
        <v>200</v>
      </c>
    </row>
    <row r="10" spans="1:49" ht="20.25">
      <c r="A10" s="81" t="s">
        <v>151</v>
      </c>
      <c r="B10" s="80">
        <v>16.8</v>
      </c>
      <c r="C10" s="79" t="s">
        <v>244</v>
      </c>
      <c r="D10" s="126">
        <v>120</v>
      </c>
      <c r="E10" s="49"/>
      <c r="F10" s="49"/>
      <c r="G10" s="49"/>
      <c r="H10" s="3"/>
      <c r="I10" s="3"/>
      <c r="J10" s="49">
        <v>51</v>
      </c>
      <c r="K10" s="49">
        <v>66</v>
      </c>
      <c r="L10" s="49">
        <v>3</v>
      </c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49">
        <f>SUM(E10:AV10)</f>
        <v>120</v>
      </c>
    </row>
    <row r="11" spans="1:49" ht="20.25">
      <c r="A11" s="81" t="s">
        <v>147</v>
      </c>
      <c r="B11" s="80">
        <v>9.6</v>
      </c>
      <c r="C11" s="79" t="s">
        <v>245</v>
      </c>
      <c r="D11" s="126">
        <v>150</v>
      </c>
      <c r="E11" s="49"/>
      <c r="F11" s="49"/>
      <c r="G11" s="49"/>
      <c r="H11" s="3"/>
      <c r="I11" s="3"/>
      <c r="J11" s="49">
        <v>19</v>
      </c>
      <c r="K11" s="49">
        <v>66</v>
      </c>
      <c r="L11" s="49">
        <v>65</v>
      </c>
      <c r="M11" s="3"/>
      <c r="N11" s="3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49">
        <f>SUM(E11:AV11)</f>
        <v>150</v>
      </c>
    </row>
    <row r="12" spans="1:49" ht="20.25">
      <c r="A12" s="81" t="s">
        <v>117</v>
      </c>
      <c r="B12" s="80">
        <v>20</v>
      </c>
      <c r="C12" s="79" t="s">
        <v>246</v>
      </c>
      <c r="D12" s="126">
        <v>300</v>
      </c>
      <c r="E12" s="49"/>
      <c r="F12" s="49"/>
      <c r="G12" s="49"/>
      <c r="H12" s="49"/>
      <c r="I12" s="49"/>
      <c r="J12" s="3"/>
      <c r="K12" s="3"/>
      <c r="L12" s="49">
        <v>105</v>
      </c>
      <c r="M12" s="49">
        <v>63</v>
      </c>
      <c r="N12" s="49">
        <v>132</v>
      </c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49">
        <f>SUM(E12:AV12)</f>
        <v>300</v>
      </c>
    </row>
    <row r="13" spans="1:49" ht="20.25">
      <c r="A13" s="81" t="s">
        <v>133</v>
      </c>
      <c r="B13" s="80">
        <v>9.6</v>
      </c>
      <c r="C13" s="79" t="s">
        <v>247</v>
      </c>
      <c r="D13" s="126">
        <v>40</v>
      </c>
      <c r="E13" s="49"/>
      <c r="F13" s="49"/>
      <c r="G13" s="3"/>
      <c r="H13" s="3"/>
      <c r="I13" s="49"/>
      <c r="J13" s="130"/>
      <c r="K13" s="130"/>
      <c r="L13" s="87"/>
      <c r="M13" s="87">
        <v>17</v>
      </c>
      <c r="N13" s="87">
        <v>23</v>
      </c>
      <c r="O13" s="87"/>
      <c r="P13" s="87"/>
      <c r="Q13" s="87"/>
      <c r="R13" s="87"/>
      <c r="S13" s="87"/>
      <c r="T13" s="87"/>
      <c r="U13" s="87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49">
        <f>SUM(E13:AV13)</f>
        <v>40</v>
      </c>
    </row>
    <row r="14" spans="1:49" ht="20.25">
      <c r="A14" s="81">
        <v>4.0999999999999996</v>
      </c>
      <c r="B14" s="80">
        <v>11.2</v>
      </c>
      <c r="C14" s="79" t="s">
        <v>248</v>
      </c>
      <c r="D14" s="126">
        <v>3000</v>
      </c>
      <c r="E14" s="49"/>
      <c r="F14" s="49"/>
      <c r="G14" s="49"/>
      <c r="H14" s="49"/>
      <c r="I14" s="85"/>
      <c r="J14" s="3"/>
      <c r="K14" s="3"/>
      <c r="L14" s="3"/>
      <c r="M14" s="3"/>
      <c r="N14" s="3"/>
      <c r="O14" s="49">
        <v>360</v>
      </c>
      <c r="P14" s="49">
        <v>690</v>
      </c>
      <c r="Q14" s="49">
        <v>630</v>
      </c>
      <c r="R14" s="49">
        <v>660</v>
      </c>
      <c r="S14" s="49">
        <v>660</v>
      </c>
      <c r="T14" s="49"/>
      <c r="U14" s="49"/>
      <c r="V14" s="86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49">
        <f>SUM(E14:AV14)</f>
        <v>3000</v>
      </c>
    </row>
    <row r="15" spans="1:49" ht="20.25">
      <c r="A15" s="81">
        <v>4.2</v>
      </c>
      <c r="B15" s="80">
        <v>16.8</v>
      </c>
      <c r="C15" s="79" t="s">
        <v>249</v>
      </c>
      <c r="D15" s="126">
        <v>2500</v>
      </c>
      <c r="E15" s="49"/>
      <c r="F15" s="49"/>
      <c r="G15" s="49"/>
      <c r="H15" s="49"/>
      <c r="I15" s="85"/>
      <c r="J15" s="49"/>
      <c r="K15" s="49"/>
      <c r="L15" s="49"/>
      <c r="M15" s="3"/>
      <c r="N15" s="3"/>
      <c r="O15" s="3"/>
      <c r="P15" s="3"/>
      <c r="Q15" s="3"/>
      <c r="R15" s="3"/>
      <c r="S15" s="49"/>
      <c r="T15" s="49">
        <v>148</v>
      </c>
      <c r="U15" s="49">
        <v>655</v>
      </c>
      <c r="V15" s="86">
        <v>625</v>
      </c>
      <c r="W15" s="49">
        <v>685</v>
      </c>
      <c r="X15" s="49">
        <v>387</v>
      </c>
      <c r="Y15" s="49"/>
      <c r="Z15" s="49"/>
      <c r="AA15" s="49"/>
      <c r="AB15" s="49"/>
      <c r="AC15" s="49"/>
      <c r="AD15" s="49"/>
      <c r="AE15" s="49"/>
      <c r="AF15" s="49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49">
        <f>SUM(E15:AV15)</f>
        <v>2500</v>
      </c>
    </row>
    <row r="16" spans="1:49" ht="20.25">
      <c r="A16" s="81" t="s">
        <v>112</v>
      </c>
      <c r="B16" s="80">
        <v>9.6</v>
      </c>
      <c r="C16" s="79" t="s">
        <v>250</v>
      </c>
      <c r="D16" s="126">
        <v>150</v>
      </c>
      <c r="E16" s="49"/>
      <c r="F16" s="49"/>
      <c r="G16" s="49"/>
      <c r="H16" s="49"/>
      <c r="I16" s="82"/>
      <c r="J16" s="3"/>
      <c r="K16" s="3"/>
      <c r="L16" s="49"/>
      <c r="M16" s="49"/>
      <c r="N16" s="49"/>
      <c r="O16" s="49"/>
      <c r="P16" s="49"/>
      <c r="Q16" s="3"/>
      <c r="R16" s="3"/>
      <c r="S16" s="3"/>
      <c r="T16" s="49"/>
      <c r="U16" s="49"/>
      <c r="V16" s="86"/>
      <c r="W16" s="49"/>
      <c r="X16" s="49"/>
      <c r="Y16" s="49">
        <v>35</v>
      </c>
      <c r="Z16" s="49">
        <v>59</v>
      </c>
      <c r="AA16" s="49">
        <v>56</v>
      </c>
      <c r="AB16" s="49"/>
      <c r="AC16" s="49"/>
      <c r="AD16" s="49"/>
      <c r="AE16" s="49"/>
      <c r="AF16" s="49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49">
        <f>SUM(E16:AV16)</f>
        <v>150</v>
      </c>
    </row>
    <row r="17" spans="1:49" ht="20.25">
      <c r="A17" s="81" t="s">
        <v>118</v>
      </c>
      <c r="B17" s="80">
        <v>8.4</v>
      </c>
      <c r="C17" s="79" t="s">
        <v>251</v>
      </c>
      <c r="D17" s="126">
        <v>1200</v>
      </c>
      <c r="E17" s="49"/>
      <c r="F17" s="49"/>
      <c r="G17" s="49"/>
      <c r="H17" s="49"/>
      <c r="I17" s="85"/>
      <c r="J17" s="49"/>
      <c r="K17" s="3"/>
      <c r="L17" s="3"/>
      <c r="M17" s="3"/>
      <c r="N17" s="3"/>
      <c r="O17" s="3"/>
      <c r="P17" s="49"/>
      <c r="Q17" s="3"/>
      <c r="R17" s="3"/>
      <c r="S17" s="3"/>
      <c r="T17" s="3"/>
      <c r="U17" s="3"/>
      <c r="V17" s="86"/>
      <c r="W17" s="49"/>
      <c r="X17" s="49"/>
      <c r="Y17" s="49">
        <v>229</v>
      </c>
      <c r="Z17" s="49">
        <v>300</v>
      </c>
      <c r="AA17" s="49">
        <v>314</v>
      </c>
      <c r="AB17" s="49">
        <v>357</v>
      </c>
      <c r="AC17" s="49"/>
      <c r="AD17" s="49"/>
      <c r="AE17" s="49"/>
      <c r="AF17" s="49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49">
        <f>SUM(E17:AV17)</f>
        <v>1200</v>
      </c>
    </row>
    <row r="18" spans="1:49" ht="20.25">
      <c r="A18" s="81" t="s">
        <v>142</v>
      </c>
      <c r="B18" s="80">
        <v>9</v>
      </c>
      <c r="C18" s="79" t="s">
        <v>252</v>
      </c>
      <c r="D18" s="126">
        <v>1200</v>
      </c>
      <c r="E18" s="49"/>
      <c r="F18" s="49"/>
      <c r="G18" s="49"/>
      <c r="H18" s="49"/>
      <c r="I18" s="85"/>
      <c r="J18" s="49"/>
      <c r="K18" s="49"/>
      <c r="L18" s="49"/>
      <c r="M18" s="49"/>
      <c r="N18" s="49"/>
      <c r="O18" s="49"/>
      <c r="P18" s="49"/>
      <c r="Q18" s="3"/>
      <c r="R18" s="3"/>
      <c r="S18" s="3"/>
      <c r="T18" s="3"/>
      <c r="U18" s="3"/>
      <c r="V18" s="86"/>
      <c r="W18" s="49"/>
      <c r="X18" s="49"/>
      <c r="Y18" s="49"/>
      <c r="Z18" s="49"/>
      <c r="AA18" s="49"/>
      <c r="AB18" s="49"/>
      <c r="AC18" s="49">
        <v>104</v>
      </c>
      <c r="AD18" s="49">
        <v>286</v>
      </c>
      <c r="AE18" s="49">
        <v>329</v>
      </c>
      <c r="AF18" s="49">
        <v>324</v>
      </c>
      <c r="AG18" s="49">
        <v>157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49">
        <f>SUM(E18:AV18)</f>
        <v>1200</v>
      </c>
    </row>
    <row r="19" spans="1:49" ht="20.25">
      <c r="A19" s="81" t="s">
        <v>149</v>
      </c>
      <c r="B19" s="80">
        <v>21</v>
      </c>
      <c r="C19" s="79" t="s">
        <v>253</v>
      </c>
      <c r="D19" s="126">
        <v>2500</v>
      </c>
      <c r="E19" s="49"/>
      <c r="F19" s="49"/>
      <c r="G19" s="49"/>
      <c r="H19" s="49"/>
      <c r="I19" s="8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3"/>
      <c r="V19" s="129"/>
      <c r="W19" s="3"/>
      <c r="X19" s="3"/>
      <c r="Y19" s="49"/>
      <c r="Z19" s="49"/>
      <c r="AA19" s="49"/>
      <c r="AB19" s="49"/>
      <c r="AC19" s="49"/>
      <c r="AD19" s="49"/>
      <c r="AE19" s="49"/>
      <c r="AF19" s="49"/>
      <c r="AG19" s="49">
        <v>1278</v>
      </c>
      <c r="AH19" s="49">
        <v>1222</v>
      </c>
      <c r="AI19" s="49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49">
        <f>SUM(E19:AV19)</f>
        <v>2500</v>
      </c>
    </row>
    <row r="20" spans="1:49" ht="20.25">
      <c r="A20" s="81" t="s">
        <v>124</v>
      </c>
      <c r="B20" s="80">
        <v>16.8</v>
      </c>
      <c r="C20" s="79" t="s">
        <v>254</v>
      </c>
      <c r="D20" s="126">
        <v>100</v>
      </c>
      <c r="E20" s="49"/>
      <c r="F20" s="49"/>
      <c r="G20" s="49"/>
      <c r="H20" s="49"/>
      <c r="I20" s="49"/>
      <c r="J20" s="88"/>
      <c r="K20" s="88"/>
      <c r="L20" s="88"/>
      <c r="M20" s="88"/>
      <c r="N20" s="88"/>
      <c r="O20" s="4"/>
      <c r="P20" s="4"/>
      <c r="Q20" s="4"/>
      <c r="R20" s="4"/>
      <c r="S20" s="88"/>
      <c r="T20" s="88"/>
      <c r="U20" s="88"/>
      <c r="V20" s="49"/>
      <c r="W20" s="49"/>
      <c r="X20" s="3"/>
      <c r="Y20" s="3"/>
      <c r="Z20" s="3"/>
      <c r="AA20" s="3"/>
      <c r="AB20" s="49"/>
      <c r="AC20" s="49"/>
      <c r="AD20" s="49"/>
      <c r="AE20" s="49"/>
      <c r="AF20" s="49"/>
      <c r="AG20" s="3"/>
      <c r="AH20" s="3"/>
      <c r="AI20" s="49">
        <v>14</v>
      </c>
      <c r="AJ20" s="49">
        <v>33</v>
      </c>
      <c r="AK20" s="49">
        <v>30</v>
      </c>
      <c r="AL20" s="49">
        <v>23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49">
        <f>SUM(E20:AV20)</f>
        <v>100</v>
      </c>
    </row>
    <row r="21" spans="1:49" ht="20.25">
      <c r="A21" s="81" t="s">
        <v>115</v>
      </c>
      <c r="B21" s="80">
        <v>14</v>
      </c>
      <c r="C21" s="79" t="s">
        <v>255</v>
      </c>
      <c r="D21" s="126">
        <v>2500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3"/>
      <c r="S21" s="3"/>
      <c r="T21" s="3"/>
      <c r="U21" s="3"/>
      <c r="V21" s="3"/>
      <c r="W21" s="3"/>
      <c r="X21" s="49"/>
      <c r="Y21" s="3"/>
      <c r="Z21" s="3"/>
      <c r="AA21" s="3"/>
      <c r="AB21" s="3"/>
      <c r="AC21" s="3"/>
      <c r="AD21" s="3"/>
      <c r="AE21" s="49"/>
      <c r="AF21" s="49"/>
      <c r="AG21" s="3"/>
      <c r="AH21" s="3"/>
      <c r="AI21" s="3"/>
      <c r="AJ21" s="3"/>
      <c r="AK21" s="3"/>
      <c r="AL21" s="49">
        <v>96</v>
      </c>
      <c r="AM21" s="49">
        <v>548</v>
      </c>
      <c r="AN21" s="49">
        <v>524</v>
      </c>
      <c r="AO21" s="49">
        <v>500</v>
      </c>
      <c r="AP21" s="49">
        <v>524</v>
      </c>
      <c r="AQ21" s="49">
        <v>308</v>
      </c>
      <c r="AR21" s="3"/>
      <c r="AS21" s="3"/>
      <c r="AT21" s="3"/>
      <c r="AU21" s="3"/>
      <c r="AV21" s="3"/>
      <c r="AW21" s="49">
        <f>SUM(E21:AV21)</f>
        <v>2500</v>
      </c>
    </row>
    <row r="22" spans="1:49">
      <c r="A22" s="81" t="s">
        <v>122</v>
      </c>
      <c r="B22" s="80">
        <v>14</v>
      </c>
      <c r="C22" s="79" t="s">
        <v>256</v>
      </c>
      <c r="D22" s="126">
        <v>600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3"/>
      <c r="X22" s="3"/>
      <c r="Y22" s="3"/>
      <c r="Z22" s="3"/>
      <c r="AA22" s="49"/>
      <c r="AB22" s="49"/>
      <c r="AC22" s="49"/>
      <c r="AD22" s="49"/>
      <c r="AE22" s="49"/>
      <c r="AF22" s="49"/>
      <c r="AG22" s="3"/>
      <c r="AH22" s="3"/>
      <c r="AI22" s="3"/>
      <c r="AJ22" s="3"/>
      <c r="AK22" s="3"/>
      <c r="AL22" s="49">
        <v>77</v>
      </c>
      <c r="AM22" s="49">
        <v>189</v>
      </c>
      <c r="AN22" s="49">
        <v>189</v>
      </c>
      <c r="AO22" s="49">
        <v>145</v>
      </c>
      <c r="AP22" s="3"/>
      <c r="AQ22" s="3"/>
      <c r="AR22" s="3"/>
      <c r="AS22" s="3"/>
      <c r="AT22" s="3"/>
      <c r="AU22" s="3"/>
      <c r="AV22" s="3"/>
      <c r="AW22" s="49">
        <f>SUM(E22:AV22)</f>
        <v>600</v>
      </c>
    </row>
    <row r="23" spans="1:49">
      <c r="A23" s="81" t="s">
        <v>144</v>
      </c>
      <c r="B23" s="80">
        <v>6</v>
      </c>
      <c r="C23" s="79" t="s">
        <v>186</v>
      </c>
      <c r="D23" s="126">
        <v>100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3"/>
      <c r="AA23" s="3"/>
      <c r="AB23" s="3"/>
      <c r="AC23" s="49"/>
      <c r="AD23" s="49"/>
      <c r="AE23" s="49"/>
      <c r="AF23" s="49"/>
      <c r="AG23" s="3"/>
      <c r="AH23" s="3"/>
      <c r="AI23" s="3"/>
      <c r="AJ23" s="3"/>
      <c r="AK23" s="3"/>
      <c r="AL23" s="49">
        <v>13</v>
      </c>
      <c r="AM23" s="49">
        <v>48</v>
      </c>
      <c r="AN23" s="49">
        <v>25</v>
      </c>
      <c r="AO23" s="49">
        <v>14</v>
      </c>
      <c r="AP23" s="3"/>
      <c r="AQ23" s="3"/>
      <c r="AR23" s="3"/>
      <c r="AS23" s="3"/>
      <c r="AT23" s="3"/>
      <c r="AU23" s="3"/>
      <c r="AV23" s="3"/>
      <c r="AW23" s="49">
        <f>SUM(E23:AV23)</f>
        <v>100</v>
      </c>
    </row>
    <row r="24" spans="1:49" ht="20.25">
      <c r="A24" s="81" t="s">
        <v>126</v>
      </c>
      <c r="B24" s="80">
        <v>5.6</v>
      </c>
      <c r="C24" s="79" t="s">
        <v>257</v>
      </c>
      <c r="D24" s="126">
        <v>150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3"/>
      <c r="AC24" s="3"/>
      <c r="AD24" s="3"/>
      <c r="AE24" s="3"/>
      <c r="AF24" s="49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49">
        <v>102</v>
      </c>
      <c r="AS24" s="49">
        <v>48</v>
      </c>
      <c r="AT24" s="3"/>
      <c r="AU24" s="3"/>
      <c r="AV24" s="3"/>
      <c r="AW24" s="49">
        <f>SUM(E24:AV24)</f>
        <v>150</v>
      </c>
    </row>
    <row r="25" spans="1:49" ht="20.25">
      <c r="A25" s="81" t="s">
        <v>127</v>
      </c>
      <c r="B25" s="80">
        <v>5.6</v>
      </c>
      <c r="C25" s="79" t="s">
        <v>258</v>
      </c>
      <c r="D25" s="126">
        <v>100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49">
        <v>43</v>
      </c>
      <c r="AT25" s="49">
        <v>57</v>
      </c>
      <c r="AU25" s="3"/>
      <c r="AV25" s="3"/>
      <c r="AW25" s="49">
        <f>SUM(E25:AV25)</f>
        <v>100</v>
      </c>
    </row>
    <row r="26" spans="1:49" ht="20.25">
      <c r="A26" s="81" t="s">
        <v>128</v>
      </c>
      <c r="B26" s="80">
        <v>5.6</v>
      </c>
      <c r="C26" s="79" t="s">
        <v>259</v>
      </c>
      <c r="D26" s="126">
        <v>150</v>
      </c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49">
        <v>27</v>
      </c>
      <c r="AV26" s="49">
        <v>123</v>
      </c>
      <c r="AW26" s="49">
        <f>SUM(E26:AV26)</f>
        <v>150</v>
      </c>
    </row>
    <row r="27" spans="1:49" ht="20.25">
      <c r="A27" s="81" t="s">
        <v>129</v>
      </c>
      <c r="B27" s="80">
        <v>2.8</v>
      </c>
      <c r="C27" s="79" t="s">
        <v>193</v>
      </c>
      <c r="D27" s="126">
        <v>50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49">
        <v>50</v>
      </c>
      <c r="AW27" s="49">
        <f>SUM(E27:AV27)</f>
        <v>50</v>
      </c>
    </row>
    <row r="28" spans="1:49" ht="21.75">
      <c r="A28" s="48" t="s">
        <v>260</v>
      </c>
      <c r="B28" s="48"/>
      <c r="C28" s="79" t="s">
        <v>261</v>
      </c>
      <c r="D28" s="78"/>
      <c r="E28" s="49">
        <f>SUM(E3:E27)</f>
        <v>15</v>
      </c>
      <c r="F28" s="49">
        <f>SUM(F3:F27)</f>
        <v>42</v>
      </c>
      <c r="G28" s="49">
        <f t="shared" ref="G28:AF28" si="0">SUM(G3:G27)</f>
        <v>63</v>
      </c>
      <c r="H28" s="49">
        <f t="shared" si="0"/>
        <v>35</v>
      </c>
      <c r="I28" s="49">
        <f t="shared" si="0"/>
        <v>15</v>
      </c>
      <c r="J28" s="49">
        <f t="shared" si="0"/>
        <v>143</v>
      </c>
      <c r="K28" s="49">
        <f t="shared" si="0"/>
        <v>193</v>
      </c>
      <c r="L28" s="49">
        <f t="shared" si="0"/>
        <v>274</v>
      </c>
      <c r="M28" s="49">
        <f t="shared" si="0"/>
        <v>80</v>
      </c>
      <c r="N28" s="49">
        <f t="shared" si="0"/>
        <v>155</v>
      </c>
      <c r="O28" s="49">
        <f t="shared" si="0"/>
        <v>360</v>
      </c>
      <c r="P28" s="49">
        <f t="shared" si="0"/>
        <v>690</v>
      </c>
      <c r="Q28" s="49">
        <f t="shared" si="0"/>
        <v>630</v>
      </c>
      <c r="R28" s="49">
        <f t="shared" si="0"/>
        <v>660</v>
      </c>
      <c r="S28" s="49">
        <f t="shared" si="0"/>
        <v>660</v>
      </c>
      <c r="T28" s="49">
        <f t="shared" si="0"/>
        <v>148</v>
      </c>
      <c r="U28" s="49">
        <f t="shared" si="0"/>
        <v>655</v>
      </c>
      <c r="V28" s="49">
        <f t="shared" si="0"/>
        <v>625</v>
      </c>
      <c r="W28" s="49">
        <f t="shared" si="0"/>
        <v>685</v>
      </c>
      <c r="X28" s="49">
        <f t="shared" si="0"/>
        <v>387</v>
      </c>
      <c r="Y28" s="49">
        <f t="shared" si="0"/>
        <v>264</v>
      </c>
      <c r="Z28" s="49">
        <f t="shared" si="0"/>
        <v>359</v>
      </c>
      <c r="AA28" s="49">
        <f t="shared" si="0"/>
        <v>370</v>
      </c>
      <c r="AB28" s="49">
        <f t="shared" si="0"/>
        <v>357</v>
      </c>
      <c r="AC28" s="49">
        <f t="shared" si="0"/>
        <v>104</v>
      </c>
      <c r="AD28" s="49">
        <f t="shared" si="0"/>
        <v>286</v>
      </c>
      <c r="AE28" s="49">
        <f t="shared" si="0"/>
        <v>329</v>
      </c>
      <c r="AF28" s="49">
        <f t="shared" si="0"/>
        <v>324</v>
      </c>
      <c r="AG28" s="49">
        <f>SUM(AG3:AG27)</f>
        <v>1435</v>
      </c>
      <c r="AH28" s="49">
        <f>SUM(AH3:AH27)</f>
        <v>1222</v>
      </c>
      <c r="AI28" s="49">
        <f>SUM(AI3:AI27)</f>
        <v>14</v>
      </c>
      <c r="AJ28" s="49">
        <f>SUM(AJ3:AJ27)</f>
        <v>33</v>
      </c>
      <c r="AK28" s="49">
        <f>SUM(AK3:AK27)</f>
        <v>30</v>
      </c>
      <c r="AL28" s="49">
        <f>SUM(AL3:AL27)</f>
        <v>209</v>
      </c>
      <c r="AM28" s="49">
        <f>SUM(AM3:AM27)</f>
        <v>785</v>
      </c>
      <c r="AN28" s="49">
        <f>SUM(AN3:AN27)</f>
        <v>738</v>
      </c>
      <c r="AO28" s="49">
        <f>SUM(AO3:AO27)</f>
        <v>659</v>
      </c>
      <c r="AP28" s="49">
        <f>SUM(AP3:AP27)</f>
        <v>524</v>
      </c>
      <c r="AQ28" s="49">
        <f>SUM(AQ3:AQ27)</f>
        <v>308</v>
      </c>
      <c r="AR28" s="49">
        <f>SUM(AR3:AR27)</f>
        <v>102</v>
      </c>
      <c r="AS28" s="49">
        <f>SUM(AS3:AS27)</f>
        <v>91</v>
      </c>
      <c r="AT28" s="49">
        <f>SUM(AT3:AT27)</f>
        <v>57</v>
      </c>
      <c r="AU28" s="49">
        <f>SUM(AU3:AU27)</f>
        <v>27</v>
      </c>
      <c r="AV28" s="49">
        <f>SUM(AV3:AV27)</f>
        <v>173</v>
      </c>
      <c r="AW28" s="49">
        <f>SUM(E28:AV28)</f>
        <v>15315</v>
      </c>
    </row>
    <row r="29" spans="1:49" ht="21.75">
      <c r="A29" s="48" t="s">
        <v>260</v>
      </c>
      <c r="B29" s="48"/>
      <c r="C29" s="79" t="s">
        <v>262</v>
      </c>
      <c r="D29" s="126">
        <f>SUM(D3:D27)</f>
        <v>15315</v>
      </c>
      <c r="E29" s="49">
        <f>E28</f>
        <v>15</v>
      </c>
      <c r="F29" s="49">
        <f>E29+F28</f>
        <v>57</v>
      </c>
      <c r="G29" s="49">
        <f>F29+G28</f>
        <v>120</v>
      </c>
      <c r="H29" s="49">
        <f>G29+H28</f>
        <v>155</v>
      </c>
      <c r="I29" s="49">
        <f>H29+I28</f>
        <v>170</v>
      </c>
      <c r="J29" s="49">
        <f>I29+J28</f>
        <v>313</v>
      </c>
      <c r="K29" s="49">
        <f>J29+K28</f>
        <v>506</v>
      </c>
      <c r="L29" s="49">
        <f>K29+L28</f>
        <v>780</v>
      </c>
      <c r="M29" s="49">
        <f t="shared" ref="M29:AF29" si="1">L29+M28</f>
        <v>860</v>
      </c>
      <c r="N29" s="49">
        <f t="shared" si="1"/>
        <v>1015</v>
      </c>
      <c r="O29" s="49">
        <f t="shared" si="1"/>
        <v>1375</v>
      </c>
      <c r="P29" s="49">
        <f t="shared" si="1"/>
        <v>2065</v>
      </c>
      <c r="Q29" s="49">
        <f t="shared" si="1"/>
        <v>2695</v>
      </c>
      <c r="R29" s="49">
        <f t="shared" si="1"/>
        <v>3355</v>
      </c>
      <c r="S29" s="49">
        <f t="shared" si="1"/>
        <v>4015</v>
      </c>
      <c r="T29" s="49">
        <f t="shared" si="1"/>
        <v>4163</v>
      </c>
      <c r="U29" s="49">
        <f t="shared" si="1"/>
        <v>4818</v>
      </c>
      <c r="V29" s="49">
        <f t="shared" si="1"/>
        <v>5443</v>
      </c>
      <c r="W29" s="49">
        <f t="shared" si="1"/>
        <v>6128</v>
      </c>
      <c r="X29" s="49">
        <f t="shared" si="1"/>
        <v>6515</v>
      </c>
      <c r="Y29" s="49">
        <f t="shared" si="1"/>
        <v>6779</v>
      </c>
      <c r="Z29" s="49">
        <f t="shared" si="1"/>
        <v>7138</v>
      </c>
      <c r="AA29" s="49">
        <f t="shared" si="1"/>
        <v>7508</v>
      </c>
      <c r="AB29" s="49">
        <f t="shared" si="1"/>
        <v>7865</v>
      </c>
      <c r="AC29" s="49">
        <f t="shared" si="1"/>
        <v>7969</v>
      </c>
      <c r="AD29" s="49">
        <f t="shared" si="1"/>
        <v>8255</v>
      </c>
      <c r="AE29" s="49">
        <f t="shared" si="1"/>
        <v>8584</v>
      </c>
      <c r="AF29" s="49">
        <f t="shared" si="1"/>
        <v>8908</v>
      </c>
      <c r="AG29" s="49">
        <f>AF29+AG28</f>
        <v>10343</v>
      </c>
      <c r="AH29" s="49">
        <f>AG29+AH28</f>
        <v>11565</v>
      </c>
      <c r="AI29" s="49">
        <f>AH29+AI28</f>
        <v>11579</v>
      </c>
      <c r="AJ29" s="49">
        <f>AI29+AJ28</f>
        <v>11612</v>
      </c>
      <c r="AK29" s="49">
        <f>AJ29+AK28</f>
        <v>11642</v>
      </c>
      <c r="AL29" s="49">
        <f>AK29+AL28</f>
        <v>11851</v>
      </c>
      <c r="AM29" s="49">
        <f>AL29+AM28</f>
        <v>12636</v>
      </c>
      <c r="AN29" s="49">
        <f>AM29+AN28</f>
        <v>13374</v>
      </c>
      <c r="AO29" s="49">
        <f>AN29+AO28</f>
        <v>14033</v>
      </c>
      <c r="AP29" s="49">
        <f>AO29+AP28</f>
        <v>14557</v>
      </c>
      <c r="AQ29" s="49">
        <f>AP29+AQ28</f>
        <v>14865</v>
      </c>
      <c r="AR29" s="49">
        <f>AQ29+AR28</f>
        <v>14967</v>
      </c>
      <c r="AS29" s="49">
        <f>AR29+AS28</f>
        <v>15058</v>
      </c>
      <c r="AT29" s="49">
        <f>AS29+AT28</f>
        <v>15115</v>
      </c>
      <c r="AU29" s="49">
        <f>AT29+AU28</f>
        <v>15142</v>
      </c>
      <c r="AV29" s="49">
        <f>AU29+AV28</f>
        <v>15315</v>
      </c>
      <c r="AW29" s="49"/>
    </row>
  </sheetData>
  <mergeCells count="2">
    <mergeCell ref="A1:D1"/>
    <mergeCell ref="E1:A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5545-9EF8-4D60-87FE-3574FD10DD0B}">
  <dimension ref="A1:BS60"/>
  <sheetViews>
    <sheetView topLeftCell="A51" workbookViewId="0">
      <selection activeCell="A59" sqref="A59:B60"/>
    </sheetView>
  </sheetViews>
  <sheetFormatPr defaultRowHeight="15"/>
  <cols>
    <col min="1" max="1" width="21.42578125" style="62" customWidth="1"/>
    <col min="2" max="2" width="14.85546875" bestFit="1" customWidth="1"/>
    <col min="3" max="3" width="15.7109375" bestFit="1" customWidth="1"/>
    <col min="4" max="4" width="14.28515625" bestFit="1" customWidth="1"/>
    <col min="5" max="5" width="14.85546875" bestFit="1" customWidth="1"/>
    <col min="6" max="6" width="26" style="72" bestFit="1" customWidth="1"/>
    <col min="7" max="7" width="22" bestFit="1" customWidth="1"/>
    <col min="8" max="8" width="14.85546875" bestFit="1" customWidth="1"/>
    <col min="15" max="15" width="16.5703125" customWidth="1"/>
    <col min="23" max="23" width="16" customWidth="1"/>
    <col min="27" max="27" width="13" customWidth="1"/>
    <col min="31" max="31" width="13.28515625" customWidth="1"/>
    <col min="39" max="39" width="13.85546875" customWidth="1"/>
    <col min="43" max="43" width="12.28515625" customWidth="1"/>
    <col min="51" max="51" width="17.42578125" customWidth="1"/>
    <col min="55" max="55" width="11.5703125" customWidth="1"/>
    <col min="67" max="67" width="10.28515625" customWidth="1"/>
  </cols>
  <sheetData>
    <row r="1" spans="1:9">
      <c r="A1" s="90" t="s">
        <v>263</v>
      </c>
      <c r="B1" s="91">
        <f>SUM(F8:F32)</f>
        <v>1104000</v>
      </c>
      <c r="C1" s="72"/>
      <c r="I1" s="72"/>
    </row>
    <row r="2" spans="1:9" ht="29.25">
      <c r="A2" s="90" t="s">
        <v>264</v>
      </c>
      <c r="B2" s="91">
        <v>1200</v>
      </c>
      <c r="C2" s="72"/>
      <c r="I2" s="72"/>
    </row>
    <row r="3" spans="1:9">
      <c r="A3" s="90" t="s">
        <v>265</v>
      </c>
      <c r="B3" s="3">
        <v>2191</v>
      </c>
    </row>
    <row r="4" spans="1:9">
      <c r="A4" s="90" t="s">
        <v>266</v>
      </c>
      <c r="B4" s="73">
        <f>SUM(E8:E32)</f>
        <v>15315000</v>
      </c>
    </row>
    <row r="5" spans="1:9">
      <c r="A5" s="90" t="s">
        <v>267</v>
      </c>
      <c r="B5" s="73">
        <f>B4+B1</f>
        <v>16419000</v>
      </c>
    </row>
    <row r="7" spans="1:9" s="61" customFormat="1" ht="29.25">
      <c r="A7" s="92" t="s">
        <v>268</v>
      </c>
      <c r="B7" s="93" t="s">
        <v>269</v>
      </c>
      <c r="C7" s="94" t="s">
        <v>270</v>
      </c>
      <c r="D7" s="94" t="s">
        <v>271</v>
      </c>
      <c r="E7" s="93" t="s">
        <v>272</v>
      </c>
      <c r="F7" s="95" t="s">
        <v>273</v>
      </c>
    </row>
    <row r="8" spans="1:9" ht="15.75">
      <c r="A8" s="96" t="s">
        <v>130</v>
      </c>
      <c r="B8" s="97">
        <v>2000</v>
      </c>
      <c r="C8" s="98">
        <v>2</v>
      </c>
      <c r="D8" s="99">
        <v>10</v>
      </c>
      <c r="E8" s="100">
        <v>10000</v>
      </c>
      <c r="F8" s="97">
        <v>2000</v>
      </c>
    </row>
    <row r="9" spans="1:9" ht="15.75">
      <c r="A9" s="96" t="s">
        <v>158</v>
      </c>
      <c r="B9" s="97">
        <v>2000</v>
      </c>
      <c r="C9" s="98">
        <v>4</v>
      </c>
      <c r="D9" s="99">
        <v>20</v>
      </c>
      <c r="E9" s="100">
        <v>10000</v>
      </c>
      <c r="F9" s="97">
        <v>2000</v>
      </c>
    </row>
    <row r="10" spans="1:9" ht="15.75">
      <c r="A10" s="101" t="s">
        <v>159</v>
      </c>
      <c r="B10" s="91">
        <v>15000</v>
      </c>
      <c r="C10" s="3">
        <v>5</v>
      </c>
      <c r="D10" s="10">
        <v>20</v>
      </c>
      <c r="E10" s="102">
        <v>50000</v>
      </c>
      <c r="F10" s="91">
        <v>10000</v>
      </c>
    </row>
    <row r="11" spans="1:9" ht="30.75">
      <c r="A11" s="101" t="s">
        <v>161</v>
      </c>
      <c r="B11" s="91">
        <v>22500</v>
      </c>
      <c r="C11" s="3">
        <v>5</v>
      </c>
      <c r="D11" s="10">
        <v>21</v>
      </c>
      <c r="E11" s="102">
        <v>75000</v>
      </c>
      <c r="F11" s="91">
        <v>10000</v>
      </c>
    </row>
    <row r="12" spans="1:9" ht="15.75">
      <c r="A12" s="96" t="s">
        <v>163</v>
      </c>
      <c r="B12" s="97">
        <v>10000</v>
      </c>
      <c r="C12" s="98">
        <v>10</v>
      </c>
      <c r="D12" s="99">
        <v>42</v>
      </c>
      <c r="E12" s="100">
        <v>30000</v>
      </c>
      <c r="F12" s="97">
        <v>10000</v>
      </c>
    </row>
    <row r="13" spans="1:9" ht="30.75">
      <c r="A13" s="101" t="s">
        <v>165</v>
      </c>
      <c r="B13" s="91">
        <v>10000</v>
      </c>
      <c r="C13" s="3">
        <v>10</v>
      </c>
      <c r="D13" s="10">
        <v>42</v>
      </c>
      <c r="E13" s="102">
        <v>30000</v>
      </c>
      <c r="F13" s="91">
        <v>10000</v>
      </c>
    </row>
    <row r="14" spans="1:9" ht="15.75">
      <c r="A14" s="101" t="s">
        <v>167</v>
      </c>
      <c r="B14" s="91">
        <v>70000</v>
      </c>
      <c r="C14" s="3">
        <v>12</v>
      </c>
      <c r="D14" s="10">
        <v>48</v>
      </c>
      <c r="E14" s="102">
        <v>200000</v>
      </c>
      <c r="F14" s="91">
        <v>50000</v>
      </c>
    </row>
    <row r="15" spans="1:9" ht="30.75">
      <c r="A15" s="101" t="s">
        <v>169</v>
      </c>
      <c r="B15" s="91">
        <v>100000</v>
      </c>
      <c r="C15" s="3">
        <v>12</v>
      </c>
      <c r="D15" s="10">
        <v>48</v>
      </c>
      <c r="E15" s="102">
        <v>300000</v>
      </c>
      <c r="F15" s="91">
        <v>75000</v>
      </c>
    </row>
    <row r="16" spans="1:9" ht="30.75">
      <c r="A16" s="101" t="s">
        <v>170</v>
      </c>
      <c r="B16" s="91">
        <v>12000</v>
      </c>
      <c r="C16" s="3">
        <v>7</v>
      </c>
      <c r="D16" s="10">
        <v>28</v>
      </c>
      <c r="E16" s="102">
        <v>40000</v>
      </c>
      <c r="F16" s="91">
        <v>10000</v>
      </c>
    </row>
    <row r="17" spans="1:6" ht="30.75">
      <c r="A17" s="101" t="s">
        <v>172</v>
      </c>
      <c r="B17" s="91">
        <v>45000</v>
      </c>
      <c r="C17" s="3">
        <v>12</v>
      </c>
      <c r="D17" s="10">
        <v>48</v>
      </c>
      <c r="E17" s="102">
        <v>150000</v>
      </c>
      <c r="F17" s="91">
        <v>50000</v>
      </c>
    </row>
    <row r="18" spans="1:6" ht="30.75">
      <c r="A18" s="101" t="s">
        <v>173</v>
      </c>
      <c r="B18" s="91">
        <v>30000</v>
      </c>
      <c r="C18" s="3">
        <v>10</v>
      </c>
      <c r="D18" s="10">
        <v>42</v>
      </c>
      <c r="E18" s="102">
        <v>120000</v>
      </c>
      <c r="F18" s="91">
        <v>50000</v>
      </c>
    </row>
    <row r="19" spans="1:6" ht="30.75">
      <c r="A19" s="101" t="s">
        <v>175</v>
      </c>
      <c r="B19" s="91">
        <v>1100000</v>
      </c>
      <c r="C19" s="3">
        <v>35</v>
      </c>
      <c r="D19" s="10">
        <v>100</v>
      </c>
      <c r="E19" s="102">
        <v>3000000</v>
      </c>
      <c r="F19" s="91">
        <v>100000</v>
      </c>
    </row>
    <row r="20" spans="1:6" ht="30.75">
      <c r="A20" s="101" t="s">
        <v>176</v>
      </c>
      <c r="B20" s="91">
        <v>1000000</v>
      </c>
      <c r="C20" s="3">
        <v>24</v>
      </c>
      <c r="D20" s="10">
        <v>84</v>
      </c>
      <c r="E20" s="102">
        <v>2500000</v>
      </c>
      <c r="F20" s="91">
        <v>100000</v>
      </c>
    </row>
    <row r="21" spans="1:6" ht="15.75">
      <c r="A21" s="101" t="s">
        <v>177</v>
      </c>
      <c r="B21" s="91">
        <v>40000</v>
      </c>
      <c r="C21" s="3">
        <v>16</v>
      </c>
      <c r="D21" s="10">
        <v>56</v>
      </c>
      <c r="E21" s="102">
        <v>150000</v>
      </c>
      <c r="F21" s="91">
        <v>50000</v>
      </c>
    </row>
    <row r="22" spans="1:6" ht="15.75">
      <c r="A22" s="101" t="s">
        <v>178</v>
      </c>
      <c r="B22" s="91">
        <v>450000</v>
      </c>
      <c r="C22" s="3">
        <v>24</v>
      </c>
      <c r="D22" s="10">
        <v>84</v>
      </c>
      <c r="E22" s="102">
        <v>1200000</v>
      </c>
      <c r="F22" s="91">
        <v>100000</v>
      </c>
    </row>
    <row r="23" spans="1:6" ht="30.75">
      <c r="A23" s="101" t="s">
        <v>180</v>
      </c>
      <c r="B23" s="91">
        <v>450000</v>
      </c>
      <c r="C23" s="3">
        <v>24</v>
      </c>
      <c r="D23" s="10">
        <v>84</v>
      </c>
      <c r="E23" s="102">
        <v>1200000</v>
      </c>
      <c r="F23" s="91">
        <v>100000</v>
      </c>
    </row>
    <row r="24" spans="1:6" ht="30.75">
      <c r="A24" s="101" t="s">
        <v>181</v>
      </c>
      <c r="B24" s="91">
        <v>1120000</v>
      </c>
      <c r="C24" s="3">
        <v>15</v>
      </c>
      <c r="D24" s="10">
        <v>45</v>
      </c>
      <c r="E24" s="102">
        <v>2500000</v>
      </c>
      <c r="F24" s="91">
        <v>100000</v>
      </c>
    </row>
    <row r="25" spans="1:6" ht="30.75">
      <c r="A25" s="96" t="s">
        <v>182</v>
      </c>
      <c r="B25" s="97">
        <v>22000</v>
      </c>
      <c r="C25" s="98">
        <v>20</v>
      </c>
      <c r="D25" s="99">
        <v>70</v>
      </c>
      <c r="E25" s="100">
        <v>100000</v>
      </c>
      <c r="F25" s="97">
        <v>25000</v>
      </c>
    </row>
    <row r="26" spans="1:6" ht="30.75">
      <c r="A26" s="101" t="s">
        <v>183</v>
      </c>
      <c r="B26" s="91">
        <v>1120000</v>
      </c>
      <c r="C26" s="3">
        <v>40</v>
      </c>
      <c r="D26" s="10">
        <v>105</v>
      </c>
      <c r="E26" s="102">
        <v>2500000</v>
      </c>
      <c r="F26" s="91">
        <v>100000</v>
      </c>
    </row>
    <row r="27" spans="1:6" ht="15.75">
      <c r="A27" s="101" t="s">
        <v>184</v>
      </c>
      <c r="B27" s="91">
        <v>240000</v>
      </c>
      <c r="C27" s="3">
        <v>20</v>
      </c>
      <c r="D27" s="10">
        <v>70</v>
      </c>
      <c r="E27" s="102">
        <v>600000</v>
      </c>
      <c r="F27" s="91">
        <v>75000</v>
      </c>
    </row>
    <row r="28" spans="1:6" ht="15.75">
      <c r="A28" s="103" t="s">
        <v>186</v>
      </c>
      <c r="B28" s="91">
        <v>30000</v>
      </c>
      <c r="C28" s="3">
        <v>7</v>
      </c>
      <c r="D28" s="10">
        <v>30</v>
      </c>
      <c r="E28" s="102">
        <v>100000</v>
      </c>
      <c r="F28" s="91">
        <v>20000</v>
      </c>
    </row>
    <row r="29" spans="1:6" ht="30.75">
      <c r="A29" s="101" t="s">
        <v>188</v>
      </c>
      <c r="B29" s="91">
        <v>20000</v>
      </c>
      <c r="C29" s="3">
        <v>10</v>
      </c>
      <c r="D29" s="10">
        <v>28</v>
      </c>
      <c r="E29" s="102">
        <v>150000</v>
      </c>
      <c r="F29" s="91">
        <v>20000</v>
      </c>
    </row>
    <row r="30" spans="1:6" ht="15.75">
      <c r="A30" s="101" t="s">
        <v>189</v>
      </c>
      <c r="B30" s="91">
        <v>25000</v>
      </c>
      <c r="C30" s="3">
        <v>10</v>
      </c>
      <c r="D30" s="10">
        <v>28</v>
      </c>
      <c r="E30" s="102">
        <v>100000</v>
      </c>
      <c r="F30" s="91">
        <v>15000</v>
      </c>
    </row>
    <row r="31" spans="1:6" ht="30.75">
      <c r="A31" s="96" t="s">
        <v>191</v>
      </c>
      <c r="B31" s="97">
        <v>15000</v>
      </c>
      <c r="C31" s="98">
        <v>13</v>
      </c>
      <c r="D31" s="99">
        <v>28</v>
      </c>
      <c r="E31" s="100">
        <v>150000</v>
      </c>
      <c r="F31" s="97">
        <v>10000</v>
      </c>
    </row>
    <row r="32" spans="1:6" ht="30.75">
      <c r="A32" s="101" t="s">
        <v>193</v>
      </c>
      <c r="B32" s="91">
        <v>5000</v>
      </c>
      <c r="C32" s="3">
        <v>4</v>
      </c>
      <c r="D32" s="10">
        <v>14</v>
      </c>
      <c r="E32" s="102">
        <v>50000</v>
      </c>
      <c r="F32" s="91">
        <v>10000</v>
      </c>
    </row>
    <row r="35" spans="1:71">
      <c r="A35"/>
    </row>
    <row r="36" spans="1:71">
      <c r="A36"/>
    </row>
    <row r="37" spans="1:71">
      <c r="A37"/>
      <c r="U37" s="10">
        <f>S43</f>
        <v>113</v>
      </c>
      <c r="V37" s="10" t="s">
        <v>109</v>
      </c>
      <c r="W37" s="10">
        <f>U37+V39</f>
        <v>155</v>
      </c>
    </row>
    <row r="38" spans="1:71">
      <c r="A38"/>
      <c r="U38" s="10">
        <f>U39-U37</f>
        <v>1366</v>
      </c>
      <c r="V38" s="115" t="s">
        <v>197</v>
      </c>
      <c r="W38" s="116"/>
      <c r="BA38" s="64">
        <f>AY43</f>
        <v>664</v>
      </c>
      <c r="BB38" s="64" t="s">
        <v>115</v>
      </c>
      <c r="BC38" s="64">
        <f>BA38+BB40</f>
        <v>769</v>
      </c>
    </row>
    <row r="39" spans="1:71">
      <c r="A39"/>
      <c r="U39" s="10">
        <f>W39-V39</f>
        <v>1479</v>
      </c>
      <c r="V39" s="10">
        <v>42</v>
      </c>
      <c r="W39" s="10">
        <f>AC45</f>
        <v>1521</v>
      </c>
      <c r="BA39" s="64">
        <f>BA40-BA38</f>
        <v>1324</v>
      </c>
      <c r="BB39" s="66" t="s">
        <v>198</v>
      </c>
      <c r="BC39" s="65"/>
    </row>
    <row r="40" spans="1:71">
      <c r="A40"/>
      <c r="BA40" s="64">
        <f>BC40-BB40</f>
        <v>1988</v>
      </c>
      <c r="BB40" s="64">
        <v>105</v>
      </c>
      <c r="BC40" s="64">
        <f>BE45</f>
        <v>2093</v>
      </c>
    </row>
    <row r="41" spans="1:71">
      <c r="A41"/>
      <c r="U41" s="64">
        <f>S43</f>
        <v>113</v>
      </c>
      <c r="V41" s="64" t="s">
        <v>111</v>
      </c>
      <c r="W41" s="64">
        <f>U41+V43</f>
        <v>155</v>
      </c>
      <c r="AK41" s="10">
        <f>AI43</f>
        <v>381</v>
      </c>
      <c r="AL41" s="10" t="s">
        <v>112</v>
      </c>
      <c r="AM41" s="10">
        <f>AK41+AL43</f>
        <v>437</v>
      </c>
    </row>
    <row r="42" spans="1:71">
      <c r="A42"/>
      <c r="U42" s="64">
        <f>U43-U41</f>
        <v>1324</v>
      </c>
      <c r="V42" s="66" t="s">
        <v>199</v>
      </c>
      <c r="W42" s="65"/>
      <c r="AK42" s="10">
        <f>AK43-AK41</f>
        <v>1481</v>
      </c>
      <c r="AL42" s="57" t="s">
        <v>200</v>
      </c>
      <c r="AM42" s="50"/>
      <c r="BA42" s="10">
        <f>AY43</f>
        <v>664</v>
      </c>
      <c r="BB42" s="10" t="s">
        <v>122</v>
      </c>
      <c r="BC42" s="10">
        <f>BA42+BB44</f>
        <v>734</v>
      </c>
    </row>
    <row r="43" spans="1:71">
      <c r="A43" s="64">
        <v>0</v>
      </c>
      <c r="B43" s="64">
        <v>1.1000000000000001</v>
      </c>
      <c r="C43" s="64">
        <f>A43+B45</f>
        <v>10</v>
      </c>
      <c r="E43" s="64">
        <f>C43</f>
        <v>10</v>
      </c>
      <c r="F43" s="64">
        <v>1.2</v>
      </c>
      <c r="G43" s="64">
        <f>E43+F45</f>
        <v>30</v>
      </c>
      <c r="I43" s="64">
        <f>G43</f>
        <v>30</v>
      </c>
      <c r="J43" s="64">
        <v>2.2000000000000002</v>
      </c>
      <c r="K43" s="64">
        <f>I43+J45</f>
        <v>51</v>
      </c>
      <c r="M43" s="64">
        <f>K43</f>
        <v>51</v>
      </c>
      <c r="N43" s="64">
        <v>2.1</v>
      </c>
      <c r="O43" s="64">
        <f>M43+N45</f>
        <v>71</v>
      </c>
      <c r="Q43" s="64">
        <f>O43</f>
        <v>71</v>
      </c>
      <c r="R43" s="64" t="s">
        <v>123</v>
      </c>
      <c r="S43" s="64">
        <f>Q43+R45</f>
        <v>113</v>
      </c>
      <c r="U43" s="64">
        <f>W43-V43</f>
        <v>1437</v>
      </c>
      <c r="V43" s="67">
        <v>42</v>
      </c>
      <c r="W43" s="64">
        <f>Y46</f>
        <v>1479</v>
      </c>
      <c r="AC43" s="64">
        <f>AA44</f>
        <v>197</v>
      </c>
      <c r="AD43" s="64">
        <v>4.0999999999999996</v>
      </c>
      <c r="AE43" s="64">
        <f>AC43+AD45</f>
        <v>297</v>
      </c>
      <c r="AG43" s="64">
        <f>AE43</f>
        <v>297</v>
      </c>
      <c r="AH43" s="64">
        <v>4.2</v>
      </c>
      <c r="AI43" s="64">
        <f>AG43+AH45</f>
        <v>381</v>
      </c>
      <c r="AK43" s="10">
        <f>AM43-AL43</f>
        <v>1862</v>
      </c>
      <c r="AL43" s="10">
        <v>56</v>
      </c>
      <c r="AM43" s="10">
        <f>AW45</f>
        <v>1918</v>
      </c>
      <c r="AW43" s="64">
        <f>AU45</f>
        <v>594</v>
      </c>
      <c r="AX43" s="64" t="s">
        <v>124</v>
      </c>
      <c r="AY43" s="64">
        <f>AW43+AX45</f>
        <v>664</v>
      </c>
      <c r="BA43" s="10">
        <f>BA44-BA42</f>
        <v>1359</v>
      </c>
      <c r="BB43" s="57" t="s">
        <v>201</v>
      </c>
      <c r="BC43" s="50"/>
      <c r="BE43" s="64">
        <f>BC38</f>
        <v>769</v>
      </c>
      <c r="BF43" s="68" t="s">
        <v>126</v>
      </c>
      <c r="BG43" s="64">
        <f>BE43+BF45</f>
        <v>797</v>
      </c>
      <c r="BI43" s="64">
        <f>BG43</f>
        <v>797</v>
      </c>
      <c r="BJ43" s="64" t="s">
        <v>127</v>
      </c>
      <c r="BK43" s="64">
        <f>BI43+BJ45</f>
        <v>825</v>
      </c>
      <c r="BM43" s="64">
        <f>BK43</f>
        <v>825</v>
      </c>
      <c r="BN43" s="64" t="s">
        <v>128</v>
      </c>
      <c r="BO43" s="64">
        <f>BM43+BN45</f>
        <v>853</v>
      </c>
      <c r="BQ43" s="64">
        <f>BO43</f>
        <v>853</v>
      </c>
      <c r="BR43" s="64" t="s">
        <v>129</v>
      </c>
      <c r="BS43" s="64">
        <f>BQ43+BR45</f>
        <v>867</v>
      </c>
    </row>
    <row r="44" spans="1:71">
      <c r="A44" s="64">
        <f>A45-A43</f>
        <v>1324</v>
      </c>
      <c r="B44" s="147" t="s">
        <v>202</v>
      </c>
      <c r="C44" s="148"/>
      <c r="E44" s="64">
        <f>E45-E43</f>
        <v>1324</v>
      </c>
      <c r="F44" s="147" t="s">
        <v>203</v>
      </c>
      <c r="G44" s="148"/>
      <c r="I44" s="64">
        <f>I45-I43</f>
        <v>1324</v>
      </c>
      <c r="J44" s="147" t="s">
        <v>204</v>
      </c>
      <c r="K44" s="148"/>
      <c r="M44" s="64">
        <f>M45-M43</f>
        <v>1324</v>
      </c>
      <c r="N44" s="147" t="s">
        <v>205</v>
      </c>
      <c r="O44" s="148"/>
      <c r="Q44" s="64">
        <f>Q45-Q43</f>
        <v>1324</v>
      </c>
      <c r="R44" s="121" t="s">
        <v>206</v>
      </c>
      <c r="S44" s="122"/>
      <c r="Y44" s="64">
        <f>W41</f>
        <v>155</v>
      </c>
      <c r="Z44" s="64" t="s">
        <v>117</v>
      </c>
      <c r="AA44" s="64">
        <f>Y44+Z46</f>
        <v>197</v>
      </c>
      <c r="AC44" s="64">
        <f>AC45-AC43</f>
        <v>1324</v>
      </c>
      <c r="AD44" s="121" t="s">
        <v>274</v>
      </c>
      <c r="AE44" s="122"/>
      <c r="AG44" s="64">
        <f>AG45-AG43</f>
        <v>1324</v>
      </c>
      <c r="AH44" s="121" t="s">
        <v>208</v>
      </c>
      <c r="AI44" s="122"/>
      <c r="AW44" s="64">
        <f>AW45-AW43</f>
        <v>1324</v>
      </c>
      <c r="AX44" s="66" t="s">
        <v>275</v>
      </c>
      <c r="AY44" s="65"/>
      <c r="BA44" s="10">
        <f>BC44-BB44</f>
        <v>2023</v>
      </c>
      <c r="BB44" s="10">
        <v>70</v>
      </c>
      <c r="BC44" s="10">
        <f>BE45</f>
        <v>2093</v>
      </c>
      <c r="BE44" s="64">
        <f>BE45-BE43</f>
        <v>1324</v>
      </c>
      <c r="BF44" s="69" t="s">
        <v>210</v>
      </c>
      <c r="BG44" s="70"/>
      <c r="BI44" s="64">
        <f>BI45-BI43</f>
        <v>1324</v>
      </c>
      <c r="BJ44" s="121" t="s">
        <v>211</v>
      </c>
      <c r="BK44" s="122"/>
      <c r="BM44" s="64">
        <f>BM45-BM43</f>
        <v>1324</v>
      </c>
      <c r="BN44" s="66" t="s">
        <v>212</v>
      </c>
      <c r="BO44" s="65"/>
      <c r="BQ44" s="64">
        <f>BQ45-BQ43</f>
        <v>1324</v>
      </c>
      <c r="BR44" s="66" t="s">
        <v>213</v>
      </c>
      <c r="BS44" s="65"/>
    </row>
    <row r="45" spans="1:71">
      <c r="A45" s="64">
        <f>C45-B45</f>
        <v>1324</v>
      </c>
      <c r="B45" s="64">
        <v>10</v>
      </c>
      <c r="C45" s="64">
        <f>E45</f>
        <v>1334</v>
      </c>
      <c r="E45" s="64">
        <f>G45-F45</f>
        <v>1334</v>
      </c>
      <c r="F45" s="64">
        <v>20</v>
      </c>
      <c r="G45" s="64">
        <f>I45</f>
        <v>1354</v>
      </c>
      <c r="I45" s="64">
        <f>K45-J45</f>
        <v>1354</v>
      </c>
      <c r="J45" s="64">
        <v>21</v>
      </c>
      <c r="K45" s="64">
        <f>M45</f>
        <v>1375</v>
      </c>
      <c r="M45" s="64">
        <f>O45-N45</f>
        <v>1375</v>
      </c>
      <c r="N45" s="64">
        <v>20</v>
      </c>
      <c r="O45" s="64">
        <f>Q45</f>
        <v>1395</v>
      </c>
      <c r="Q45" s="64">
        <f>S45-R45</f>
        <v>1395</v>
      </c>
      <c r="R45" s="64">
        <v>42</v>
      </c>
      <c r="S45" s="64">
        <f>U43</f>
        <v>1437</v>
      </c>
      <c r="U45" s="10">
        <f>S43</f>
        <v>113</v>
      </c>
      <c r="V45" s="10" t="s">
        <v>151</v>
      </c>
      <c r="W45" s="10">
        <f>U45+V47</f>
        <v>155</v>
      </c>
      <c r="Y45" s="64">
        <f>Y46-Y44</f>
        <v>1324</v>
      </c>
      <c r="Z45" s="121" t="s">
        <v>214</v>
      </c>
      <c r="AA45" s="122"/>
      <c r="AC45" s="64">
        <f>AE45-AD45</f>
        <v>1521</v>
      </c>
      <c r="AD45" s="64">
        <v>100</v>
      </c>
      <c r="AE45" s="64">
        <f>AG45</f>
        <v>1621</v>
      </c>
      <c r="AG45" s="64">
        <f>AI45-AH45</f>
        <v>1621</v>
      </c>
      <c r="AH45" s="64">
        <v>84</v>
      </c>
      <c r="AI45" s="64">
        <f>AK47</f>
        <v>1705</v>
      </c>
      <c r="AK45" s="64">
        <f>AI43</f>
        <v>381</v>
      </c>
      <c r="AL45" s="64" t="s">
        <v>118</v>
      </c>
      <c r="AM45" s="64">
        <f>AK45+AL47</f>
        <v>465</v>
      </c>
      <c r="AO45" s="64">
        <f>AM45</f>
        <v>465</v>
      </c>
      <c r="AP45" s="64" t="s">
        <v>142</v>
      </c>
      <c r="AQ45" s="64">
        <f>AO45+AP47</f>
        <v>549</v>
      </c>
      <c r="AS45" s="64">
        <f>AQ45</f>
        <v>549</v>
      </c>
      <c r="AT45" s="64" t="s">
        <v>149</v>
      </c>
      <c r="AU45" s="64">
        <f>AS45+AT47</f>
        <v>594</v>
      </c>
      <c r="AW45" s="64">
        <f>AY45-AX45</f>
        <v>1918</v>
      </c>
      <c r="AX45" s="64">
        <v>70</v>
      </c>
      <c r="AY45" s="64">
        <f>BA40</f>
        <v>1988</v>
      </c>
      <c r="BE45" s="64">
        <f>BG45-BF45</f>
        <v>2093</v>
      </c>
      <c r="BF45" s="71">
        <v>28</v>
      </c>
      <c r="BG45" s="64">
        <f>BI45</f>
        <v>2121</v>
      </c>
      <c r="BI45" s="64">
        <f>BK45-BJ45</f>
        <v>2121</v>
      </c>
      <c r="BJ45" s="64">
        <v>28</v>
      </c>
      <c r="BK45" s="64">
        <f>BM45</f>
        <v>2149</v>
      </c>
      <c r="BM45" s="64">
        <f>BO45-BN45</f>
        <v>2149</v>
      </c>
      <c r="BN45" s="64">
        <v>28</v>
      </c>
      <c r="BO45" s="64">
        <f>BQ45</f>
        <v>2177</v>
      </c>
      <c r="BQ45" s="64">
        <f>BS45-BR45</f>
        <v>2177</v>
      </c>
      <c r="BR45" s="64">
        <v>14</v>
      </c>
      <c r="BS45" s="64">
        <v>2191</v>
      </c>
    </row>
    <row r="46" spans="1:71">
      <c r="A46"/>
      <c r="U46" s="10">
        <f>U47-U45</f>
        <v>1338</v>
      </c>
      <c r="V46" s="115" t="s">
        <v>215</v>
      </c>
      <c r="W46" s="116"/>
      <c r="Y46" s="64">
        <f>AA46-Z46</f>
        <v>1479</v>
      </c>
      <c r="Z46" s="67">
        <v>42</v>
      </c>
      <c r="AA46" s="64">
        <f>AC45</f>
        <v>1521</v>
      </c>
      <c r="AK46" s="64">
        <f>AK47-AK45</f>
        <v>1324</v>
      </c>
      <c r="AL46" s="66" t="s">
        <v>216</v>
      </c>
      <c r="AM46" s="65"/>
      <c r="AO46" s="64">
        <f>AO47-AO45</f>
        <v>1324</v>
      </c>
      <c r="AP46" s="66" t="s">
        <v>217</v>
      </c>
      <c r="AQ46" s="65"/>
      <c r="AS46" s="64">
        <f>AS47-AS45</f>
        <v>1324</v>
      </c>
      <c r="AT46" s="66" t="s">
        <v>218</v>
      </c>
      <c r="AU46" s="65"/>
      <c r="BA46" s="10">
        <f>AY43</f>
        <v>664</v>
      </c>
      <c r="BB46" s="10" t="s">
        <v>144</v>
      </c>
      <c r="BC46" s="10">
        <f>BA46+BB48</f>
        <v>734</v>
      </c>
    </row>
    <row r="47" spans="1:71">
      <c r="A47"/>
      <c r="U47" s="10">
        <f>W47-V47</f>
        <v>1451</v>
      </c>
      <c r="V47" s="10">
        <v>42</v>
      </c>
      <c r="W47" s="10">
        <f>Y51</f>
        <v>1493</v>
      </c>
      <c r="AK47" s="64">
        <f>AM47-AL47</f>
        <v>1705</v>
      </c>
      <c r="AL47" s="64">
        <v>84</v>
      </c>
      <c r="AM47" s="64">
        <f>AO47</f>
        <v>1789</v>
      </c>
      <c r="AO47" s="64">
        <f>AQ47-AP47</f>
        <v>1789</v>
      </c>
      <c r="AP47" s="64">
        <v>84</v>
      </c>
      <c r="AQ47" s="64">
        <f>AS47</f>
        <v>1873</v>
      </c>
      <c r="AS47" s="64">
        <f>AU47-AT47</f>
        <v>1873</v>
      </c>
      <c r="AT47" s="64">
        <v>45</v>
      </c>
      <c r="AU47" s="64">
        <f>AW45</f>
        <v>1918</v>
      </c>
      <c r="BA47" s="10">
        <f>BA48-BA46</f>
        <v>1359</v>
      </c>
      <c r="BB47" s="57" t="s">
        <v>219</v>
      </c>
      <c r="BC47" s="50"/>
    </row>
    <row r="48" spans="1:71">
      <c r="A48"/>
      <c r="BA48" s="10">
        <f>BC48-BB48</f>
        <v>2023</v>
      </c>
      <c r="BB48" s="10">
        <v>70</v>
      </c>
      <c r="BC48" s="10">
        <f>BE45</f>
        <v>2093</v>
      </c>
    </row>
    <row r="49" spans="1:29">
      <c r="A49"/>
      <c r="U49" s="10">
        <f>S43</f>
        <v>113</v>
      </c>
      <c r="V49" s="10" t="s">
        <v>147</v>
      </c>
      <c r="W49" s="10">
        <f>U49+V51</f>
        <v>161</v>
      </c>
      <c r="Y49" s="10">
        <f>W49</f>
        <v>161</v>
      </c>
      <c r="Z49" s="10" t="s">
        <v>133</v>
      </c>
      <c r="AA49" s="10">
        <f>Y49+Z51</f>
        <v>189</v>
      </c>
    </row>
    <row r="50" spans="1:29">
      <c r="A50"/>
      <c r="U50" s="10">
        <f>U51-U49</f>
        <v>1332</v>
      </c>
      <c r="V50" s="115" t="s">
        <v>220</v>
      </c>
      <c r="W50" s="116"/>
      <c r="Y50" s="10">
        <f>Y51-Y49</f>
        <v>1332</v>
      </c>
      <c r="Z50" s="115" t="s">
        <v>276</v>
      </c>
      <c r="AA50" s="116"/>
    </row>
    <row r="51" spans="1:29">
      <c r="A51"/>
      <c r="U51" s="10">
        <f>W51-V51</f>
        <v>1445</v>
      </c>
      <c r="V51" s="10">
        <v>48</v>
      </c>
      <c r="W51" s="10">
        <f>Y51</f>
        <v>1493</v>
      </c>
      <c r="Y51" s="10">
        <f>AA51-Z51</f>
        <v>1493</v>
      </c>
      <c r="Z51" s="10">
        <v>28</v>
      </c>
      <c r="AA51" s="10">
        <f>AC45</f>
        <v>1521</v>
      </c>
      <c r="AC51" s="2"/>
    </row>
    <row r="52" spans="1:29">
      <c r="A52" s="46" t="s">
        <v>277</v>
      </c>
      <c r="B52" s="46">
        <v>2191</v>
      </c>
      <c r="C52" s="46">
        <f>B52-2</f>
        <v>2189</v>
      </c>
      <c r="D52" s="46">
        <f>C52-4</f>
        <v>2185</v>
      </c>
      <c r="E52" s="46">
        <f>D52-10</f>
        <v>2175</v>
      </c>
      <c r="F52" s="46">
        <f>E52-20</f>
        <v>2155</v>
      </c>
      <c r="G52" s="46">
        <f>F52-13</f>
        <v>2142</v>
      </c>
      <c r="X52" s="2"/>
      <c r="Y52" s="11"/>
      <c r="Z52" s="11"/>
      <c r="AB52" s="2"/>
    </row>
    <row r="53" spans="1:29">
      <c r="A53" s="46" t="s">
        <v>268</v>
      </c>
      <c r="B53" s="46"/>
      <c r="C53" s="46" t="s">
        <v>278</v>
      </c>
      <c r="D53" s="46" t="s">
        <v>131</v>
      </c>
      <c r="E53" s="75" t="s">
        <v>279</v>
      </c>
      <c r="F53" s="46" t="s">
        <v>182</v>
      </c>
      <c r="G53" s="46" t="s">
        <v>191</v>
      </c>
      <c r="X53" s="2"/>
      <c r="Y53" s="11"/>
      <c r="Z53" s="11"/>
      <c r="AB53" s="2"/>
    </row>
    <row r="54" spans="1:29" s="63" customFormat="1">
      <c r="A54" s="74" t="s">
        <v>280</v>
      </c>
      <c r="B54" s="73">
        <f>SUM(B55:B56)</f>
        <v>16419000</v>
      </c>
      <c r="C54" s="73">
        <f>C55+C56</f>
        <v>16418600</v>
      </c>
      <c r="D54" s="73">
        <f>D55+D56</f>
        <v>16415800</v>
      </c>
      <c r="E54" s="73">
        <f>E55+E56</f>
        <v>16413800</v>
      </c>
      <c r="F54" s="73">
        <f>F55+F56</f>
        <v>16411800</v>
      </c>
      <c r="G54" s="73">
        <f>G55+G56</f>
        <v>16411200</v>
      </c>
    </row>
    <row r="55" spans="1:29" s="63" customFormat="1">
      <c r="A55" s="74" t="s">
        <v>281</v>
      </c>
      <c r="B55" s="73">
        <v>15315000</v>
      </c>
      <c r="C55" s="73">
        <f>B55+B8</f>
        <v>15317000</v>
      </c>
      <c r="D55" s="73">
        <f>C55+B9</f>
        <v>15319000</v>
      </c>
      <c r="E55" s="73">
        <f>D55+B12</f>
        <v>15329000</v>
      </c>
      <c r="F55" s="73">
        <f>E55+B25</f>
        <v>15351000</v>
      </c>
      <c r="G55" s="73">
        <f>F55+B31</f>
        <v>15366000</v>
      </c>
    </row>
    <row r="56" spans="1:29" s="63" customFormat="1">
      <c r="A56" s="74" t="s">
        <v>273</v>
      </c>
      <c r="B56" s="73">
        <v>1104000</v>
      </c>
      <c r="C56" s="73">
        <f>B56-(1200*2)</f>
        <v>1101600</v>
      </c>
      <c r="D56" s="73">
        <f>C56-(1200*4)</f>
        <v>1096800</v>
      </c>
      <c r="E56" s="73">
        <f>D56-(1200*10)</f>
        <v>1084800</v>
      </c>
      <c r="F56" s="73">
        <f>E56-(1200*20)</f>
        <v>1060800</v>
      </c>
      <c r="G56" s="73">
        <f>F56-(1200*13)</f>
        <v>1045200</v>
      </c>
    </row>
    <row r="59" spans="1:29">
      <c r="A59" s="76" t="s">
        <v>282</v>
      </c>
      <c r="B59" s="77">
        <f>G54</f>
        <v>16411200</v>
      </c>
      <c r="E59" s="63"/>
      <c r="G59" s="63"/>
    </row>
    <row r="60" spans="1:29">
      <c r="A60" s="76" t="s">
        <v>283</v>
      </c>
      <c r="B60" s="69">
        <f>G52</f>
        <v>2142</v>
      </c>
    </row>
  </sheetData>
  <mergeCells count="13">
    <mergeCell ref="AD44:AE44"/>
    <mergeCell ref="AH44:AI44"/>
    <mergeCell ref="BJ44:BK44"/>
    <mergeCell ref="Z45:AA45"/>
    <mergeCell ref="V46:W46"/>
    <mergeCell ref="V50:W50"/>
    <mergeCell ref="Z50:AA50"/>
    <mergeCell ref="V38:W38"/>
    <mergeCell ref="B44:C44"/>
    <mergeCell ref="F44:G44"/>
    <mergeCell ref="J44:K44"/>
    <mergeCell ref="N44:O44"/>
    <mergeCell ref="R44:S4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DA35-7883-461A-A2A8-38BC8D9B0F57}">
  <dimension ref="A1:I57"/>
  <sheetViews>
    <sheetView tabSelected="1" topLeftCell="A35" workbookViewId="0">
      <selection activeCell="I36" sqref="A36:I57"/>
    </sheetView>
  </sheetViews>
  <sheetFormatPr defaultRowHeight="15"/>
  <cols>
    <col min="2" max="2" width="11.5703125" bestFit="1" customWidth="1"/>
    <col min="3" max="3" width="14.140625" bestFit="1" customWidth="1"/>
    <col min="7" max="8" width="10.42578125" bestFit="1" customWidth="1"/>
  </cols>
  <sheetData>
    <row r="1" spans="1:7">
      <c r="A1" t="s">
        <v>284</v>
      </c>
    </row>
    <row r="2" spans="1:7">
      <c r="A2" s="46" t="s">
        <v>285</v>
      </c>
      <c r="B2" s="46" t="s">
        <v>286</v>
      </c>
      <c r="C2" s="46" t="s">
        <v>287</v>
      </c>
      <c r="D2" s="46" t="s">
        <v>288</v>
      </c>
      <c r="E2" s="46" t="s">
        <v>289</v>
      </c>
      <c r="F2" s="46" t="s">
        <v>290</v>
      </c>
      <c r="G2" s="46" t="s">
        <v>291</v>
      </c>
    </row>
    <row r="3" spans="1:7">
      <c r="A3" s="81">
        <v>1.1000000000000001</v>
      </c>
      <c r="B3" s="3">
        <v>90</v>
      </c>
      <c r="C3" s="3">
        <v>9</v>
      </c>
      <c r="D3" s="3">
        <v>10</v>
      </c>
      <c r="E3" s="3">
        <v>10</v>
      </c>
      <c r="F3" s="3">
        <f>C3-D3</f>
        <v>-1</v>
      </c>
      <c r="G3" s="3">
        <f>C3-E3</f>
        <v>-1</v>
      </c>
    </row>
    <row r="4" spans="1:7">
      <c r="A4" s="81">
        <v>1.2</v>
      </c>
      <c r="B4" s="3">
        <v>50</v>
      </c>
      <c r="C4" s="3">
        <v>5</v>
      </c>
      <c r="D4" s="3">
        <v>5</v>
      </c>
      <c r="E4" s="3">
        <v>5</v>
      </c>
      <c r="F4" s="3">
        <f>C4-D4</f>
        <v>0</v>
      </c>
      <c r="G4" s="3">
        <f>C4-E4</f>
        <v>0</v>
      </c>
    </row>
    <row r="5" spans="1:7">
      <c r="A5" s="46" t="s">
        <v>292</v>
      </c>
      <c r="B5" s="46"/>
      <c r="C5" s="46">
        <f>SUM(C3:C4)</f>
        <v>14</v>
      </c>
      <c r="D5" s="46">
        <f>SUM(D3:D4)</f>
        <v>15</v>
      </c>
      <c r="E5" s="46">
        <f>SUM(E3:E4)</f>
        <v>15</v>
      </c>
      <c r="F5" s="46">
        <f>SUM(F3:F4)</f>
        <v>-1</v>
      </c>
      <c r="G5" s="46">
        <f>SUM(G3:G4)</f>
        <v>-1</v>
      </c>
    </row>
    <row r="7" spans="1:7">
      <c r="A7" t="s">
        <v>293</v>
      </c>
    </row>
    <row r="8" spans="1:7">
      <c r="A8" s="46" t="s">
        <v>285</v>
      </c>
      <c r="B8" s="46" t="s">
        <v>286</v>
      </c>
      <c r="C8" s="46" t="s">
        <v>287</v>
      </c>
      <c r="D8" s="46" t="s">
        <v>288</v>
      </c>
      <c r="E8" s="46" t="s">
        <v>289</v>
      </c>
      <c r="F8" s="46" t="s">
        <v>290</v>
      </c>
      <c r="G8" s="46" t="s">
        <v>291</v>
      </c>
    </row>
    <row r="9" spans="1:7">
      <c r="A9" s="81">
        <v>1.1000000000000001</v>
      </c>
      <c r="B9" s="3">
        <v>100</v>
      </c>
      <c r="C9" s="3">
        <v>10</v>
      </c>
      <c r="D9" s="3">
        <v>10</v>
      </c>
      <c r="E9" s="3">
        <v>10</v>
      </c>
      <c r="F9" s="3">
        <f>C9-D9</f>
        <v>0</v>
      </c>
      <c r="G9" s="3">
        <f>C9-E9</f>
        <v>0</v>
      </c>
    </row>
    <row r="10" spans="1:7">
      <c r="A10" s="81">
        <v>1.2</v>
      </c>
      <c r="B10" s="3">
        <v>100</v>
      </c>
      <c r="C10" s="3">
        <v>5</v>
      </c>
      <c r="D10" s="3">
        <v>5</v>
      </c>
      <c r="E10" s="3">
        <v>5</v>
      </c>
      <c r="F10" s="3">
        <f>C10-D10</f>
        <v>0</v>
      </c>
      <c r="G10" s="3">
        <f>C10-E10</f>
        <v>0</v>
      </c>
    </row>
    <row r="11" spans="1:7">
      <c r="A11" s="81">
        <v>2.2000000000000002</v>
      </c>
      <c r="B11" s="3">
        <v>40</v>
      </c>
      <c r="C11" s="3">
        <v>30</v>
      </c>
      <c r="D11" s="3">
        <v>35</v>
      </c>
      <c r="E11" s="3">
        <v>37</v>
      </c>
      <c r="F11" s="3">
        <f>C11-D11</f>
        <v>-5</v>
      </c>
      <c r="G11" s="3">
        <f>C11-E11</f>
        <v>-7</v>
      </c>
    </row>
    <row r="12" spans="1:7">
      <c r="A12" s="46" t="s">
        <v>292</v>
      </c>
      <c r="B12" s="46"/>
      <c r="C12" s="46">
        <f>SUM(C9:C11)</f>
        <v>45</v>
      </c>
      <c r="D12" s="46">
        <f>SUM(D9:D11)</f>
        <v>50</v>
      </c>
      <c r="E12" s="46">
        <f>SUM(E9:E11)</f>
        <v>52</v>
      </c>
      <c r="F12" s="46">
        <f>SUM(F9:F11)</f>
        <v>-5</v>
      </c>
      <c r="G12" s="46">
        <f>SUM(G9:G11)</f>
        <v>-7</v>
      </c>
    </row>
    <row r="14" spans="1:7">
      <c r="A14" t="s">
        <v>294</v>
      </c>
    </row>
    <row r="15" spans="1:7">
      <c r="A15" s="46" t="s">
        <v>285</v>
      </c>
      <c r="B15" s="46" t="s">
        <v>286</v>
      </c>
      <c r="C15" s="46" t="s">
        <v>287</v>
      </c>
      <c r="D15" s="46" t="s">
        <v>288</v>
      </c>
      <c r="E15" s="46" t="s">
        <v>289</v>
      </c>
      <c r="F15" s="46" t="s">
        <v>290</v>
      </c>
      <c r="G15" s="46" t="s">
        <v>291</v>
      </c>
    </row>
    <row r="16" spans="1:7">
      <c r="A16" s="81">
        <v>1.1000000000000001</v>
      </c>
      <c r="B16" s="3">
        <v>100</v>
      </c>
      <c r="C16" s="3">
        <v>10</v>
      </c>
      <c r="D16" s="3">
        <v>10</v>
      </c>
      <c r="E16" s="3">
        <v>10</v>
      </c>
      <c r="F16" s="3">
        <f>C16-D16</f>
        <v>0</v>
      </c>
      <c r="G16" s="3">
        <f>C16-E16</f>
        <v>0</v>
      </c>
    </row>
    <row r="17" spans="1:7">
      <c r="A17" s="81">
        <v>1.2</v>
      </c>
      <c r="B17" s="3">
        <v>100</v>
      </c>
      <c r="C17" s="3">
        <v>5</v>
      </c>
      <c r="D17" s="3">
        <v>5</v>
      </c>
      <c r="E17" s="3">
        <v>5</v>
      </c>
      <c r="F17" s="3">
        <f>C17-D17</f>
        <v>0</v>
      </c>
      <c r="G17" s="3">
        <f>C17-E17</f>
        <v>0</v>
      </c>
    </row>
    <row r="18" spans="1:7">
      <c r="A18" s="81">
        <v>2.2000000000000002</v>
      </c>
      <c r="B18" s="3">
        <v>80</v>
      </c>
      <c r="C18" s="3">
        <v>60</v>
      </c>
      <c r="D18" s="3">
        <v>73</v>
      </c>
      <c r="E18" s="3">
        <v>75</v>
      </c>
      <c r="F18" s="3">
        <f>C18-D18</f>
        <v>-13</v>
      </c>
      <c r="G18" s="3">
        <f>C18-E18</f>
        <v>-15</v>
      </c>
    </row>
    <row r="19" spans="1:7">
      <c r="A19" s="81">
        <v>2.1</v>
      </c>
      <c r="B19" s="3">
        <v>50</v>
      </c>
      <c r="C19" s="3">
        <v>25</v>
      </c>
      <c r="D19" s="3">
        <v>27</v>
      </c>
      <c r="E19" s="3">
        <v>25</v>
      </c>
      <c r="F19" s="3">
        <f>C19-D19</f>
        <v>-2</v>
      </c>
      <c r="G19" s="3">
        <f>C19-E19</f>
        <v>0</v>
      </c>
    </row>
    <row r="20" spans="1:7">
      <c r="A20" s="81" t="s">
        <v>123</v>
      </c>
      <c r="B20" s="3">
        <v>40</v>
      </c>
      <c r="C20" s="3">
        <v>12</v>
      </c>
      <c r="D20" s="3">
        <v>14</v>
      </c>
      <c r="E20" s="3">
        <v>15</v>
      </c>
      <c r="F20" s="3">
        <f>C20-D20</f>
        <v>-2</v>
      </c>
      <c r="G20" s="3">
        <f>C20-E20</f>
        <v>-3</v>
      </c>
    </row>
    <row r="21" spans="1:7">
      <c r="A21" s="46" t="s">
        <v>292</v>
      </c>
      <c r="B21" s="46"/>
      <c r="C21" s="46">
        <f>SUM(C16:C20)</f>
        <v>112</v>
      </c>
      <c r="D21" s="46">
        <f>SUM(D16:D20)</f>
        <v>129</v>
      </c>
      <c r="E21" s="46">
        <f>SUM(E16:E20)</f>
        <v>130</v>
      </c>
      <c r="F21" s="46">
        <f>SUM(F16:F20)</f>
        <v>-17</v>
      </c>
      <c r="G21" s="46">
        <f>SUM(G16:G20)</f>
        <v>-18</v>
      </c>
    </row>
    <row r="23" spans="1:7">
      <c r="A23" t="s">
        <v>295</v>
      </c>
    </row>
    <row r="24" spans="1:7">
      <c r="A24" s="46" t="s">
        <v>285</v>
      </c>
      <c r="B24" s="46" t="s">
        <v>286</v>
      </c>
      <c r="C24" s="46" t="s">
        <v>287</v>
      </c>
      <c r="D24" s="46" t="s">
        <v>288</v>
      </c>
      <c r="E24" s="46" t="s">
        <v>289</v>
      </c>
      <c r="F24" s="46" t="s">
        <v>290</v>
      </c>
      <c r="G24" s="46" t="s">
        <v>291</v>
      </c>
    </row>
    <row r="25" spans="1:7">
      <c r="A25" s="81">
        <v>1.1000000000000001</v>
      </c>
      <c r="B25" s="3">
        <v>100</v>
      </c>
      <c r="C25" s="3">
        <v>10</v>
      </c>
      <c r="D25" s="3">
        <v>10</v>
      </c>
      <c r="E25" s="3">
        <v>10</v>
      </c>
      <c r="F25" s="3">
        <f>C25-D25</f>
        <v>0</v>
      </c>
      <c r="G25" s="3">
        <f>C25-E25</f>
        <v>0</v>
      </c>
    </row>
    <row r="26" spans="1:7">
      <c r="A26" s="81">
        <v>1.2</v>
      </c>
      <c r="B26" s="3">
        <v>100</v>
      </c>
      <c r="C26" s="3">
        <v>5</v>
      </c>
      <c r="D26" s="3">
        <v>5</v>
      </c>
      <c r="E26" s="3">
        <v>5</v>
      </c>
      <c r="F26" s="3">
        <f>C26-D26</f>
        <v>0</v>
      </c>
      <c r="G26" s="3">
        <f>C26-E26</f>
        <v>0</v>
      </c>
    </row>
    <row r="27" spans="1:7">
      <c r="A27" s="81">
        <v>2.2000000000000002</v>
      </c>
      <c r="B27" s="3">
        <v>100</v>
      </c>
      <c r="C27" s="3">
        <v>75</v>
      </c>
      <c r="D27" s="3">
        <v>77</v>
      </c>
      <c r="E27" s="3">
        <v>75</v>
      </c>
      <c r="F27" s="3">
        <f>C27-D27</f>
        <v>-2</v>
      </c>
      <c r="G27" s="3">
        <f>C27-E27</f>
        <v>0</v>
      </c>
    </row>
    <row r="28" spans="1:7">
      <c r="A28" s="81">
        <v>2.1</v>
      </c>
      <c r="B28" s="3">
        <v>90</v>
      </c>
      <c r="C28" s="3">
        <v>45</v>
      </c>
      <c r="D28" s="3">
        <v>53</v>
      </c>
      <c r="E28" s="3">
        <v>50</v>
      </c>
      <c r="F28" s="3">
        <f>C28-D28</f>
        <v>-8</v>
      </c>
      <c r="G28" s="3">
        <f>C28-E28</f>
        <v>-5</v>
      </c>
    </row>
    <row r="29" spans="1:7">
      <c r="A29" s="81" t="s">
        <v>123</v>
      </c>
      <c r="B29" s="3">
        <v>60</v>
      </c>
      <c r="C29" s="3">
        <v>18</v>
      </c>
      <c r="D29" s="3">
        <v>29</v>
      </c>
      <c r="E29" s="3">
        <v>30</v>
      </c>
      <c r="F29" s="3">
        <f>C29-D29</f>
        <v>-11</v>
      </c>
      <c r="G29" s="3">
        <f>C29-E29</f>
        <v>-12</v>
      </c>
    </row>
    <row r="30" spans="1:7">
      <c r="A30" s="81" t="s">
        <v>109</v>
      </c>
      <c r="B30" s="3">
        <v>50</v>
      </c>
      <c r="C30" s="3">
        <v>15</v>
      </c>
      <c r="D30" s="3">
        <v>15</v>
      </c>
      <c r="E30" s="3">
        <v>15</v>
      </c>
      <c r="F30" s="3">
        <f>C30-D30</f>
        <v>0</v>
      </c>
      <c r="G30" s="3">
        <f>C30-E30</f>
        <v>0</v>
      </c>
    </row>
    <row r="31" spans="1:7">
      <c r="A31" s="81" t="s">
        <v>111</v>
      </c>
      <c r="B31" s="3">
        <v>25</v>
      </c>
      <c r="C31" s="3">
        <v>50</v>
      </c>
      <c r="D31" s="3">
        <v>53</v>
      </c>
      <c r="E31" s="3">
        <v>53</v>
      </c>
      <c r="F31" s="3">
        <f>C31-D31</f>
        <v>-3</v>
      </c>
      <c r="G31" s="3">
        <f>C31-E31</f>
        <v>-3</v>
      </c>
    </row>
    <row r="32" spans="1:7">
      <c r="A32" s="81" t="s">
        <v>151</v>
      </c>
      <c r="B32" s="3">
        <v>40</v>
      </c>
      <c r="C32" s="3">
        <v>48</v>
      </c>
      <c r="D32" s="3">
        <v>50</v>
      </c>
      <c r="E32" s="3">
        <v>51</v>
      </c>
      <c r="F32" s="3">
        <f>C32-D32</f>
        <v>-2</v>
      </c>
      <c r="G32" s="3">
        <f>C32-E32</f>
        <v>-3</v>
      </c>
    </row>
    <row r="33" spans="1:9">
      <c r="A33" s="81" t="s">
        <v>147</v>
      </c>
      <c r="B33" s="3">
        <v>10</v>
      </c>
      <c r="C33" s="3">
        <v>15</v>
      </c>
      <c r="D33" s="3">
        <v>14</v>
      </c>
      <c r="E33" s="3">
        <v>19</v>
      </c>
      <c r="F33" s="3">
        <f>C33-D33</f>
        <v>1</v>
      </c>
      <c r="G33" s="3">
        <f>C33-E33</f>
        <v>-4</v>
      </c>
    </row>
    <row r="34" spans="1:9">
      <c r="A34" s="46" t="s">
        <v>292</v>
      </c>
      <c r="B34" s="46"/>
      <c r="C34" s="46">
        <f>SUM(C25:C33)</f>
        <v>281</v>
      </c>
      <c r="D34" s="46">
        <f>SUM(D25:D33)</f>
        <v>306</v>
      </c>
      <c r="E34" s="46">
        <f>SUM(E25:E33)</f>
        <v>308</v>
      </c>
      <c r="F34" s="46">
        <f>SUM(F25:F33)</f>
        <v>-25</v>
      </c>
      <c r="G34" s="46">
        <f>SUM(G25:G33)</f>
        <v>-27</v>
      </c>
    </row>
    <row r="36" spans="1:9">
      <c r="A36" s="132" t="s">
        <v>296</v>
      </c>
      <c r="B36" s="132"/>
      <c r="C36" s="132"/>
      <c r="D36" s="132"/>
      <c r="E36" s="132"/>
      <c r="F36" s="132"/>
      <c r="G36" s="132"/>
      <c r="H36" s="132"/>
      <c r="I36" s="132"/>
    </row>
    <row r="37" spans="1:9">
      <c r="A37" s="133" t="s">
        <v>285</v>
      </c>
      <c r="B37" s="133" t="s">
        <v>286</v>
      </c>
      <c r="C37" s="133" t="s">
        <v>287</v>
      </c>
      <c r="D37" s="133" t="s">
        <v>288</v>
      </c>
      <c r="E37" s="133" t="s">
        <v>289</v>
      </c>
      <c r="F37" s="133" t="s">
        <v>290</v>
      </c>
      <c r="G37" s="133" t="s">
        <v>291</v>
      </c>
      <c r="H37" s="132"/>
      <c r="I37" s="132"/>
    </row>
    <row r="38" spans="1:9">
      <c r="A38" s="131">
        <v>1.1000000000000001</v>
      </c>
      <c r="B38" s="134">
        <v>100</v>
      </c>
      <c r="C38" s="134">
        <v>10</v>
      </c>
      <c r="D38" s="134">
        <v>10</v>
      </c>
      <c r="E38" s="134">
        <v>10</v>
      </c>
      <c r="F38" s="134">
        <f>C38-D38</f>
        <v>0</v>
      </c>
      <c r="G38" s="134">
        <f>C38-E38</f>
        <v>0</v>
      </c>
      <c r="H38" s="132"/>
      <c r="I38" s="132"/>
    </row>
    <row r="39" spans="1:9">
      <c r="A39" s="131">
        <v>1.2</v>
      </c>
      <c r="B39" s="134">
        <v>100</v>
      </c>
      <c r="C39" s="134">
        <v>5</v>
      </c>
      <c r="D39" s="134">
        <v>5</v>
      </c>
      <c r="E39" s="134">
        <v>5</v>
      </c>
      <c r="F39" s="134">
        <f>C39-D39</f>
        <v>0</v>
      </c>
      <c r="G39" s="134">
        <f>C39-E39</f>
        <v>0</v>
      </c>
      <c r="H39" s="132"/>
      <c r="I39" s="132"/>
    </row>
    <row r="40" spans="1:9">
      <c r="A40" s="131">
        <v>2.2000000000000002</v>
      </c>
      <c r="B40" s="134">
        <v>100</v>
      </c>
      <c r="C40" s="134">
        <v>75</v>
      </c>
      <c r="D40" s="134">
        <v>77</v>
      </c>
      <c r="E40" s="134">
        <v>75</v>
      </c>
      <c r="F40" s="134">
        <f>C40-D40</f>
        <v>-2</v>
      </c>
      <c r="G40" s="134">
        <f>C40-E40</f>
        <v>0</v>
      </c>
      <c r="H40" s="132"/>
      <c r="I40" s="132"/>
    </row>
    <row r="41" spans="1:9">
      <c r="A41" s="131">
        <v>2.1</v>
      </c>
      <c r="B41" s="134">
        <v>100</v>
      </c>
      <c r="C41" s="134">
        <v>50</v>
      </c>
      <c r="D41" s="134">
        <v>57</v>
      </c>
      <c r="E41" s="134">
        <v>50</v>
      </c>
      <c r="F41" s="134">
        <f>C41-D41</f>
        <v>-7</v>
      </c>
      <c r="G41" s="134">
        <f>C41-E41</f>
        <v>0</v>
      </c>
      <c r="H41" s="132"/>
      <c r="I41" s="132"/>
    </row>
    <row r="42" spans="1:9">
      <c r="A42" s="131" t="s">
        <v>123</v>
      </c>
      <c r="B42" s="134">
        <v>100</v>
      </c>
      <c r="C42" s="134">
        <v>30</v>
      </c>
      <c r="D42" s="134">
        <v>42</v>
      </c>
      <c r="E42" s="134">
        <v>30</v>
      </c>
      <c r="F42" s="134">
        <f>C42-D42</f>
        <v>-12</v>
      </c>
      <c r="G42" s="134">
        <f>C42-E42</f>
        <v>0</v>
      </c>
      <c r="H42" s="132"/>
      <c r="I42" s="132"/>
    </row>
    <row r="43" spans="1:9">
      <c r="A43" s="131" t="s">
        <v>109</v>
      </c>
      <c r="B43" s="134">
        <v>60</v>
      </c>
      <c r="C43" s="134">
        <v>18</v>
      </c>
      <c r="D43" s="134">
        <v>23</v>
      </c>
      <c r="E43" s="134">
        <v>21</v>
      </c>
      <c r="F43" s="134">
        <f>C43-D43</f>
        <v>-5</v>
      </c>
      <c r="G43" s="134">
        <f>C43-E43</f>
        <v>-3</v>
      </c>
      <c r="H43" s="132"/>
      <c r="I43" s="132"/>
    </row>
    <row r="44" spans="1:9">
      <c r="A44" s="131" t="s">
        <v>111</v>
      </c>
      <c r="B44" s="134">
        <v>40</v>
      </c>
      <c r="C44" s="134">
        <v>80</v>
      </c>
      <c r="D44" s="134">
        <v>82</v>
      </c>
      <c r="E44" s="134">
        <v>108</v>
      </c>
      <c r="F44" s="134">
        <f>C44-D44</f>
        <v>-2</v>
      </c>
      <c r="G44" s="134">
        <f>C44-E44</f>
        <v>-28</v>
      </c>
      <c r="H44" s="132"/>
      <c r="I44" s="132"/>
    </row>
    <row r="45" spans="1:9">
      <c r="A45" s="131" t="s">
        <v>151</v>
      </c>
      <c r="B45" s="134">
        <v>95</v>
      </c>
      <c r="C45" s="134">
        <v>114</v>
      </c>
      <c r="D45" s="134">
        <v>115</v>
      </c>
      <c r="E45" s="134">
        <v>117</v>
      </c>
      <c r="F45" s="134">
        <f>C45-D45</f>
        <v>-1</v>
      </c>
      <c r="G45" s="134">
        <f>C45-E45</f>
        <v>-3</v>
      </c>
      <c r="H45" s="132"/>
      <c r="I45" s="132"/>
    </row>
    <row r="46" spans="1:9">
      <c r="A46" s="131" t="s">
        <v>147</v>
      </c>
      <c r="B46" s="134">
        <v>35</v>
      </c>
      <c r="C46" s="134">
        <v>52.5</v>
      </c>
      <c r="D46" s="134">
        <v>61</v>
      </c>
      <c r="E46" s="134">
        <v>85</v>
      </c>
      <c r="F46" s="134">
        <f>C46-D46</f>
        <v>-8.5</v>
      </c>
      <c r="G46" s="134">
        <f>C46-E46</f>
        <v>-32.5</v>
      </c>
      <c r="H46" s="132"/>
      <c r="I46" s="132"/>
    </row>
    <row r="47" spans="1:9">
      <c r="A47" s="133" t="s">
        <v>292</v>
      </c>
      <c r="B47" s="133"/>
      <c r="C47" s="133">
        <f>SUM(C38:C46)</f>
        <v>434.5</v>
      </c>
      <c r="D47" s="133">
        <f>SUM(D38:D46)</f>
        <v>472</v>
      </c>
      <c r="E47" s="133">
        <f>SUM(E38:E46)</f>
        <v>501</v>
      </c>
      <c r="F47" s="133">
        <f>SUM(F38:F46)</f>
        <v>-37.5</v>
      </c>
      <c r="G47" s="133">
        <f>SUM(G38:G46)</f>
        <v>-66.5</v>
      </c>
      <c r="H47" s="132"/>
      <c r="I47" s="132"/>
    </row>
    <row r="48" spans="1:9">
      <c r="A48" s="132"/>
      <c r="B48" s="132"/>
      <c r="C48" s="132"/>
      <c r="D48" s="132"/>
      <c r="E48" s="132"/>
      <c r="F48" s="132"/>
      <c r="G48" s="132"/>
      <c r="H48" s="132"/>
      <c r="I48" s="132"/>
    </row>
    <row r="49" spans="1:9">
      <c r="A49" s="132"/>
      <c r="B49" s="132"/>
      <c r="C49" s="132"/>
      <c r="D49" s="132"/>
      <c r="E49" s="132"/>
      <c r="F49" s="132"/>
      <c r="G49" s="132"/>
      <c r="H49" s="132"/>
      <c r="I49" s="132"/>
    </row>
    <row r="50" spans="1:9">
      <c r="A50" s="132" t="s">
        <v>297</v>
      </c>
      <c r="B50" s="132"/>
      <c r="C50" s="132"/>
      <c r="D50" s="132"/>
      <c r="E50" s="132"/>
      <c r="F50" s="132"/>
      <c r="G50" s="132"/>
      <c r="H50" s="132"/>
      <c r="I50" s="132"/>
    </row>
    <row r="51" spans="1:9">
      <c r="A51" s="134" t="s">
        <v>298</v>
      </c>
      <c r="B51" s="134"/>
      <c r="C51" s="134" t="s">
        <v>287</v>
      </c>
      <c r="D51" s="134" t="s">
        <v>288</v>
      </c>
      <c r="E51" s="134" t="s">
        <v>289</v>
      </c>
      <c r="F51" s="134"/>
      <c r="G51" s="134" t="s">
        <v>299</v>
      </c>
      <c r="H51" s="134" t="s">
        <v>300</v>
      </c>
      <c r="I51" s="134" t="s">
        <v>301</v>
      </c>
    </row>
    <row r="52" spans="1:9">
      <c r="A52" s="131">
        <v>1</v>
      </c>
      <c r="B52" s="134"/>
      <c r="C52" s="133">
        <f>SUM(C3:C4)</f>
        <v>14</v>
      </c>
      <c r="D52" s="133">
        <f>SUM(D3:D4)</f>
        <v>15</v>
      </c>
      <c r="E52" s="133">
        <f>SUM(E3:E4)</f>
        <v>15</v>
      </c>
      <c r="F52" s="134"/>
      <c r="G52" s="135">
        <f>C52/E52</f>
        <v>0.93333333333333335</v>
      </c>
      <c r="H52" s="135">
        <f>C52/D52</f>
        <v>0.93333333333333335</v>
      </c>
      <c r="I52" s="136">
        <f>C52/15315</f>
        <v>9.1413646751550772E-4</v>
      </c>
    </row>
    <row r="53" spans="1:9">
      <c r="A53" s="131">
        <v>2</v>
      </c>
      <c r="B53" s="134"/>
      <c r="C53" s="133">
        <f>SUM(C9:C11)</f>
        <v>45</v>
      </c>
      <c r="D53" s="133">
        <f>SUM(D9:D11)</f>
        <v>50</v>
      </c>
      <c r="E53" s="133">
        <f>SUM(E9:E11)</f>
        <v>52</v>
      </c>
      <c r="F53" s="134"/>
      <c r="G53" s="135">
        <f>C53/E53</f>
        <v>0.86538461538461542</v>
      </c>
      <c r="H53" s="135">
        <f>C53/D53</f>
        <v>0.9</v>
      </c>
      <c r="I53" s="136">
        <f>C53/15315</f>
        <v>2.9382957884427031E-3</v>
      </c>
    </row>
    <row r="54" spans="1:9">
      <c r="A54" s="131">
        <v>3</v>
      </c>
      <c r="B54" s="134"/>
      <c r="C54" s="133">
        <f>SUM(C16:C20)</f>
        <v>112</v>
      </c>
      <c r="D54" s="133">
        <f>SUM(D16:D20)</f>
        <v>129</v>
      </c>
      <c r="E54" s="133">
        <f>SUM(E16:E20)</f>
        <v>130</v>
      </c>
      <c r="F54" s="134"/>
      <c r="G54" s="135">
        <f>C54/E54</f>
        <v>0.86153846153846159</v>
      </c>
      <c r="H54" s="135">
        <f>C54/D54</f>
        <v>0.86821705426356588</v>
      </c>
      <c r="I54" s="136">
        <f>C54/15315</f>
        <v>7.3130917401240617E-3</v>
      </c>
    </row>
    <row r="55" spans="1:9">
      <c r="A55" s="131">
        <v>4</v>
      </c>
      <c r="B55" s="134"/>
      <c r="C55" s="133">
        <f>SUM(C25:C33)</f>
        <v>281</v>
      </c>
      <c r="D55" s="133">
        <f>SUM(D25:D33)</f>
        <v>306</v>
      </c>
      <c r="E55" s="133">
        <f>SUM(E25:E33)</f>
        <v>308</v>
      </c>
      <c r="F55" s="134"/>
      <c r="G55" s="135">
        <f>C55/E55</f>
        <v>0.91233766233766234</v>
      </c>
      <c r="H55" s="135">
        <f>C55/D55</f>
        <v>0.9183006535947712</v>
      </c>
      <c r="I55" s="136">
        <f>C55/15315</f>
        <v>1.8348024812275546E-2</v>
      </c>
    </row>
    <row r="56" spans="1:9">
      <c r="A56" s="131">
        <v>5</v>
      </c>
      <c r="B56" s="134"/>
      <c r="C56" s="133">
        <f>SUM(C38:C46)</f>
        <v>434.5</v>
      </c>
      <c r="D56" s="133">
        <f>SUM(D38:D46)</f>
        <v>472</v>
      </c>
      <c r="E56" s="133">
        <f>SUM(E38:E46)</f>
        <v>501</v>
      </c>
      <c r="F56" s="134"/>
      <c r="G56" s="135">
        <f>C56/E56</f>
        <v>0.86726546906187629</v>
      </c>
      <c r="H56" s="135">
        <f>C56/D56</f>
        <v>0.92055084745762716</v>
      </c>
      <c r="I56" s="136">
        <f>C56/15315</f>
        <v>2.8370878223963433E-2</v>
      </c>
    </row>
    <row r="57" spans="1:9">
      <c r="A57" s="134" t="s">
        <v>302</v>
      </c>
      <c r="B57" s="134" t="s">
        <v>303</v>
      </c>
      <c r="C57" s="137">
        <f>D56+((15315-C56)/(C56/D56))</f>
        <v>16636.777905638664</v>
      </c>
      <c r="D57" s="134"/>
      <c r="E57" s="134" t="s">
        <v>304</v>
      </c>
      <c r="F57" s="134" t="s">
        <v>303</v>
      </c>
      <c r="G57" s="135">
        <f>15315-C57</f>
        <v>-1321.7779056386644</v>
      </c>
      <c r="H57" s="134"/>
      <c r="I57" s="13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Brian R. Montgomery</cp:lastModifiedBy>
  <cp:revision/>
  <dcterms:created xsi:type="dcterms:W3CDTF">2025-09-16T03:48:33Z</dcterms:created>
  <dcterms:modified xsi:type="dcterms:W3CDTF">2025-11-05T05:16:56Z</dcterms:modified>
  <cp:category/>
  <cp:contentStatus/>
</cp:coreProperties>
</file>